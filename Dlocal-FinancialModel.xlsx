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ull Time 2026\Equity Research\"/>
    </mc:Choice>
  </mc:AlternateContent>
  <xr:revisionPtr revIDLastSave="0" documentId="8_{3D8ED9A6-29F0-4A5B-96D6-66060A2EA48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over" sheetId="1" r:id="rId1"/>
    <sheet name="Assumptions" sheetId="2" r:id="rId2"/>
    <sheet name="Income Statement" sheetId="3" r:id="rId3"/>
    <sheet name="Balance Sheet" sheetId="4" r:id="rId4"/>
    <sheet name="Cash Flow" sheetId="5" r:id="rId5"/>
    <sheet name="DCF" sheetId="6" r:id="rId6"/>
    <sheet name="Comp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5" i="7" l="1"/>
  <c r="L15" i="7"/>
  <c r="M14" i="7"/>
  <c r="L14" i="7"/>
  <c r="C23" i="7" s="1"/>
  <c r="K14" i="7"/>
  <c r="C22" i="7" s="1"/>
  <c r="N12" i="7"/>
  <c r="L12" i="7"/>
  <c r="K12" i="7"/>
  <c r="J12" i="7"/>
  <c r="N11" i="7"/>
  <c r="L11" i="7"/>
  <c r="K11" i="7"/>
  <c r="J11" i="7"/>
  <c r="N10" i="7"/>
  <c r="K10" i="7"/>
  <c r="K15" i="7" s="1"/>
  <c r="C21" i="7" s="1"/>
  <c r="J10" i="7"/>
  <c r="J15" i="7" s="1"/>
  <c r="C19" i="7" s="1"/>
  <c r="N9" i="7"/>
  <c r="L9" i="7"/>
  <c r="K9" i="7"/>
  <c r="J9" i="7"/>
  <c r="N8" i="7"/>
  <c r="L8" i="7"/>
  <c r="K8" i="7"/>
  <c r="J8" i="7"/>
  <c r="J14" i="7" s="1"/>
  <c r="C20" i="7" s="1"/>
  <c r="N7" i="7"/>
  <c r="L7" i="7"/>
  <c r="K7" i="7"/>
  <c r="J7" i="7"/>
  <c r="C32" i="6"/>
  <c r="C22" i="6"/>
  <c r="C23" i="6" s="1"/>
  <c r="C21" i="6"/>
  <c r="C19" i="6"/>
  <c r="C20" i="6" s="1"/>
  <c r="C17" i="6"/>
  <c r="E37" i="5"/>
  <c r="D37" i="5"/>
  <c r="F36" i="5"/>
  <c r="E36" i="5"/>
  <c r="D36" i="5"/>
  <c r="J26" i="5"/>
  <c r="I26" i="5"/>
  <c r="H26" i="5"/>
  <c r="G26" i="5"/>
  <c r="E26" i="5"/>
  <c r="D26" i="5"/>
  <c r="J24" i="5"/>
  <c r="I24" i="5"/>
  <c r="H24" i="5"/>
  <c r="G24" i="5"/>
  <c r="F24" i="5"/>
  <c r="F26" i="5" s="1"/>
  <c r="E21" i="5"/>
  <c r="D21" i="5"/>
  <c r="F19" i="5"/>
  <c r="F37" i="5" s="1"/>
  <c r="G18" i="5"/>
  <c r="G36" i="5" s="1"/>
  <c r="F18" i="5"/>
  <c r="F21" i="5" s="1"/>
  <c r="J10" i="5"/>
  <c r="F9" i="5"/>
  <c r="G9" i="5" s="1"/>
  <c r="H9" i="5" s="1"/>
  <c r="I9" i="5" s="1"/>
  <c r="J9" i="5" s="1"/>
  <c r="F8" i="5"/>
  <c r="G8" i="5" s="1"/>
  <c r="H8" i="5" s="1"/>
  <c r="I8" i="5" s="1"/>
  <c r="J8" i="5" s="1"/>
  <c r="C36" i="4"/>
  <c r="E34" i="4"/>
  <c r="D34" i="4"/>
  <c r="C34" i="4"/>
  <c r="J32" i="4"/>
  <c r="G32" i="4"/>
  <c r="H32" i="4" s="1"/>
  <c r="I32" i="4" s="1"/>
  <c r="F32" i="4"/>
  <c r="F31" i="4"/>
  <c r="G31" i="4" s="1"/>
  <c r="H31" i="4" s="1"/>
  <c r="I31" i="4" s="1"/>
  <c r="J31" i="4" s="1"/>
  <c r="F30" i="4"/>
  <c r="G30" i="4" s="1"/>
  <c r="H30" i="4" s="1"/>
  <c r="I30" i="4" s="1"/>
  <c r="J30" i="4" s="1"/>
  <c r="F28" i="4"/>
  <c r="G28" i="4" s="1"/>
  <c r="E24" i="4"/>
  <c r="D24" i="4"/>
  <c r="C24" i="4"/>
  <c r="F23" i="4"/>
  <c r="G23" i="4" s="1"/>
  <c r="H23" i="4" s="1"/>
  <c r="I23" i="4" s="1"/>
  <c r="J23" i="4" s="1"/>
  <c r="F22" i="4"/>
  <c r="F24" i="4" s="1"/>
  <c r="E21" i="4"/>
  <c r="E25" i="4" s="1"/>
  <c r="E36" i="4" s="1"/>
  <c r="D21" i="4"/>
  <c r="D25" i="4" s="1"/>
  <c r="D36" i="4" s="1"/>
  <c r="C21" i="4"/>
  <c r="C25" i="4" s="1"/>
  <c r="F20" i="4"/>
  <c r="G20" i="4" s="1"/>
  <c r="H20" i="4" s="1"/>
  <c r="I20" i="4" s="1"/>
  <c r="J20" i="4" s="1"/>
  <c r="E14" i="4"/>
  <c r="D14" i="4"/>
  <c r="D15" i="4" s="1"/>
  <c r="C14" i="4"/>
  <c r="F12" i="4"/>
  <c r="E11" i="4"/>
  <c r="D11" i="4"/>
  <c r="C11" i="4"/>
  <c r="F10" i="4"/>
  <c r="J9" i="4"/>
  <c r="I9" i="4"/>
  <c r="H9" i="4"/>
  <c r="G9" i="4"/>
  <c r="F9" i="4"/>
  <c r="F22" i="3"/>
  <c r="E22" i="3"/>
  <c r="D22" i="3"/>
  <c r="C22" i="3"/>
  <c r="J21" i="3"/>
  <c r="I21" i="3"/>
  <c r="H21" i="3"/>
  <c r="G21" i="3"/>
  <c r="F21" i="3"/>
  <c r="J20" i="3"/>
  <c r="J22" i="3" s="1"/>
  <c r="I20" i="3"/>
  <c r="I22" i="3" s="1"/>
  <c r="H20" i="3"/>
  <c r="H22" i="3" s="1"/>
  <c r="G20" i="3"/>
  <c r="G22" i="3" s="1"/>
  <c r="F20" i="3"/>
  <c r="J19" i="3"/>
  <c r="I19" i="3"/>
  <c r="H19" i="3"/>
  <c r="G19" i="3"/>
  <c r="F19" i="3"/>
  <c r="E17" i="3"/>
  <c r="E16" i="3"/>
  <c r="E21" i="1" s="1"/>
  <c r="D16" i="3"/>
  <c r="D17" i="3" s="1"/>
  <c r="C16" i="3"/>
  <c r="J15" i="3"/>
  <c r="I15" i="3"/>
  <c r="H15" i="3"/>
  <c r="G15" i="3"/>
  <c r="F15" i="3"/>
  <c r="J14" i="3"/>
  <c r="I14" i="3"/>
  <c r="H14" i="3"/>
  <c r="G14" i="3"/>
  <c r="F14" i="3"/>
  <c r="H13" i="3"/>
  <c r="I13" i="3" s="1"/>
  <c r="J13" i="3" s="1"/>
  <c r="G13" i="3"/>
  <c r="F13" i="3"/>
  <c r="F12" i="3"/>
  <c r="G12" i="3" s="1"/>
  <c r="H12" i="3" s="1"/>
  <c r="I12" i="3" s="1"/>
  <c r="J12" i="3" s="1"/>
  <c r="G11" i="3"/>
  <c r="H11" i="3" s="1"/>
  <c r="I11" i="3" s="1"/>
  <c r="J11" i="3" s="1"/>
  <c r="F11" i="3"/>
  <c r="E9" i="3"/>
  <c r="D9" i="3"/>
  <c r="C9" i="3"/>
  <c r="E8" i="3"/>
  <c r="D8" i="3"/>
  <c r="C8" i="3"/>
  <c r="C19" i="1" s="1"/>
  <c r="E20" i="1"/>
  <c r="D20" i="1"/>
  <c r="C20" i="1"/>
  <c r="E19" i="1"/>
  <c r="D19" i="1"/>
  <c r="E18" i="1"/>
  <c r="D18" i="1"/>
  <c r="C18" i="1"/>
  <c r="G53" i="2"/>
  <c r="G13" i="4" s="1"/>
  <c r="F53" i="2"/>
  <c r="F13" i="4" s="1"/>
  <c r="F52" i="2"/>
  <c r="G52" i="2" s="1"/>
  <c r="H52" i="2" s="1"/>
  <c r="E48" i="2"/>
  <c r="D48" i="2"/>
  <c r="C48" i="2"/>
  <c r="J33" i="2"/>
  <c r="I33" i="2"/>
  <c r="H33" i="2"/>
  <c r="G33" i="2"/>
  <c r="F33" i="2"/>
  <c r="E33" i="2"/>
  <c r="D33" i="2"/>
  <c r="C33" i="2"/>
  <c r="J32" i="2"/>
  <c r="I32" i="2"/>
  <c r="H32" i="2"/>
  <c r="G32" i="2"/>
  <c r="F32" i="2"/>
  <c r="E32" i="2"/>
  <c r="D32" i="2"/>
  <c r="C32" i="2"/>
  <c r="J31" i="2"/>
  <c r="I31" i="2"/>
  <c r="H31" i="2"/>
  <c r="G31" i="2"/>
  <c r="F31" i="2"/>
  <c r="E31" i="2"/>
  <c r="D31" i="2"/>
  <c r="C31" i="2"/>
  <c r="E30" i="2"/>
  <c r="D30" i="2"/>
  <c r="C30" i="2"/>
  <c r="J29" i="2"/>
  <c r="I29" i="2"/>
  <c r="H29" i="2"/>
  <c r="G29" i="2"/>
  <c r="F29" i="2"/>
  <c r="J25" i="2"/>
  <c r="I25" i="2"/>
  <c r="I9" i="2" s="1"/>
  <c r="H25" i="2"/>
  <c r="H9" i="2" s="1"/>
  <c r="G25" i="2"/>
  <c r="F25" i="2"/>
  <c r="J20" i="2"/>
  <c r="J8" i="2" s="1"/>
  <c r="I20" i="2"/>
  <c r="I8" i="2" s="1"/>
  <c r="H20" i="2"/>
  <c r="H8" i="2" s="1"/>
  <c r="G20" i="2"/>
  <c r="G8" i="2" s="1"/>
  <c r="F20" i="2"/>
  <c r="F7" i="2" s="1"/>
  <c r="J16" i="2"/>
  <c r="I16" i="2"/>
  <c r="H16" i="2"/>
  <c r="G16" i="2"/>
  <c r="F16" i="2"/>
  <c r="E13" i="2"/>
  <c r="D13" i="2"/>
  <c r="C13" i="2"/>
  <c r="G9" i="2"/>
  <c r="F30" i="2" l="1"/>
  <c r="F10" i="2" s="1"/>
  <c r="G30" i="2"/>
  <c r="G10" i="2" s="1"/>
  <c r="F8" i="2"/>
  <c r="H30" i="2"/>
  <c r="H10" i="2" s="1"/>
  <c r="J30" i="2"/>
  <c r="J10" i="2" s="1"/>
  <c r="H28" i="4"/>
  <c r="H9" i="6"/>
  <c r="G9" i="6"/>
  <c r="F9" i="6"/>
  <c r="J9" i="6"/>
  <c r="I9" i="6"/>
  <c r="G12" i="4"/>
  <c r="F14" i="4"/>
  <c r="J9" i="2"/>
  <c r="I30" i="2"/>
  <c r="I10" i="2" s="1"/>
  <c r="C17" i="3"/>
  <c r="C21" i="1"/>
  <c r="C23" i="3"/>
  <c r="C25" i="3" s="1"/>
  <c r="H53" i="2"/>
  <c r="D38" i="4"/>
  <c r="G10" i="4"/>
  <c r="C15" i="4"/>
  <c r="C38" i="4" s="1"/>
  <c r="F12" i="2"/>
  <c r="G7" i="2"/>
  <c r="I52" i="2"/>
  <c r="H10" i="4"/>
  <c r="E15" i="4"/>
  <c r="E38" i="4" s="1"/>
  <c r="H18" i="5"/>
  <c r="G19" i="5"/>
  <c r="D23" i="3"/>
  <c r="D25" i="3" s="1"/>
  <c r="E23" i="3"/>
  <c r="E25" i="3" s="1"/>
  <c r="D21" i="1"/>
  <c r="F9" i="2"/>
  <c r="F13" i="2" s="1"/>
  <c r="F11" i="2" s="1"/>
  <c r="G22" i="4"/>
  <c r="G24" i="4" l="1"/>
  <c r="H22" i="4"/>
  <c r="E26" i="3"/>
  <c r="E23" i="1" s="1"/>
  <c r="E7" i="5"/>
  <c r="E15" i="5" s="1"/>
  <c r="E22" i="1"/>
  <c r="J52" i="2"/>
  <c r="J10" i="4" s="1"/>
  <c r="I10" i="4"/>
  <c r="F7" i="3"/>
  <c r="G14" i="4"/>
  <c r="H12" i="4"/>
  <c r="F6" i="3"/>
  <c r="F8" i="4"/>
  <c r="F11" i="5" s="1"/>
  <c r="F18" i="4"/>
  <c r="G13" i="2"/>
  <c r="G11" i="2" s="1"/>
  <c r="H7" i="2"/>
  <c r="G12" i="2"/>
  <c r="G7" i="3" s="1"/>
  <c r="D7" i="5"/>
  <c r="D15" i="5" s="1"/>
  <c r="D26" i="3"/>
  <c r="D23" i="1" s="1"/>
  <c r="D22" i="1"/>
  <c r="H19" i="5"/>
  <c r="G37" i="5"/>
  <c r="G21" i="5"/>
  <c r="H36" i="5"/>
  <c r="I18" i="5"/>
  <c r="H13" i="4"/>
  <c r="I53" i="2"/>
  <c r="C7" i="5"/>
  <c r="C22" i="1"/>
  <c r="C26" i="3"/>
  <c r="C23" i="1" s="1"/>
  <c r="I28" i="4"/>
  <c r="F18" i="1" l="1"/>
  <c r="F8" i="3"/>
  <c r="H14" i="4"/>
  <c r="I12" i="4"/>
  <c r="J28" i="4"/>
  <c r="I19" i="5"/>
  <c r="H37" i="5"/>
  <c r="D30" i="5"/>
  <c r="D32" i="5" s="1"/>
  <c r="E29" i="5" s="1"/>
  <c r="E32" i="5" s="1"/>
  <c r="F29" i="5" s="1"/>
  <c r="D35" i="5"/>
  <c r="D38" i="5" s="1"/>
  <c r="J18" i="5"/>
  <c r="I21" i="5"/>
  <c r="I36" i="5"/>
  <c r="E30" i="5"/>
  <c r="E35" i="5"/>
  <c r="E38" i="5" s="1"/>
  <c r="H13" i="2"/>
  <c r="H11" i="2" s="1"/>
  <c r="I7" i="2"/>
  <c r="H12" i="2"/>
  <c r="H7" i="3" s="1"/>
  <c r="G18" i="4"/>
  <c r="G8" i="4"/>
  <c r="G11" i="5" s="1"/>
  <c r="G6" i="3"/>
  <c r="H24" i="4"/>
  <c r="I22" i="4"/>
  <c r="J53" i="2"/>
  <c r="J13" i="4" s="1"/>
  <c r="I13" i="4"/>
  <c r="H21" i="5"/>
  <c r="F12" i="5"/>
  <c r="F21" i="4"/>
  <c r="F25" i="4" s="1"/>
  <c r="I24" i="4" l="1"/>
  <c r="J22" i="4"/>
  <c r="J24" i="4" s="1"/>
  <c r="G12" i="5"/>
  <c r="G21" i="4"/>
  <c r="G25" i="4" s="1"/>
  <c r="J21" i="5"/>
  <c r="J36" i="5"/>
  <c r="H18" i="4"/>
  <c r="H8" i="4"/>
  <c r="H11" i="5" s="1"/>
  <c r="H6" i="3"/>
  <c r="H8" i="3" s="1"/>
  <c r="I14" i="4"/>
  <c r="J12" i="4"/>
  <c r="J14" i="4" s="1"/>
  <c r="G18" i="1"/>
  <c r="G8" i="3"/>
  <c r="J19" i="5"/>
  <c r="J37" i="5" s="1"/>
  <c r="I37" i="5"/>
  <c r="I13" i="2"/>
  <c r="I11" i="2" s="1"/>
  <c r="I12" i="2"/>
  <c r="I7" i="3" s="1"/>
  <c r="J7" i="2"/>
  <c r="F9" i="3"/>
  <c r="F20" i="1" s="1"/>
  <c r="F16" i="3"/>
  <c r="F19" i="1"/>
  <c r="H9" i="3" l="1"/>
  <c r="H16" i="3"/>
  <c r="F21" i="1"/>
  <c r="F23" i="3"/>
  <c r="F17" i="3"/>
  <c r="J13" i="2"/>
  <c r="J11" i="2" s="1"/>
  <c r="J12" i="2"/>
  <c r="J7" i="3" s="1"/>
  <c r="G9" i="3"/>
  <c r="G20" i="1" s="1"/>
  <c r="G16" i="3"/>
  <c r="G19" i="1"/>
  <c r="H12" i="5"/>
  <c r="H21" i="4"/>
  <c r="H25" i="4" s="1"/>
  <c r="I18" i="4"/>
  <c r="I8" i="4"/>
  <c r="I11" i="5" s="1"/>
  <c r="I6" i="3"/>
  <c r="I8" i="3" s="1"/>
  <c r="F24" i="3" l="1"/>
  <c r="F14" i="5" s="1"/>
  <c r="I12" i="5"/>
  <c r="I21" i="4"/>
  <c r="I25" i="4" s="1"/>
  <c r="G23" i="3"/>
  <c r="G21" i="1"/>
  <c r="G17" i="3"/>
  <c r="J18" i="4"/>
  <c r="J8" i="4"/>
  <c r="J11" i="5" s="1"/>
  <c r="J6" i="3"/>
  <c r="J8" i="3" s="1"/>
  <c r="I9" i="3"/>
  <c r="I16" i="3"/>
  <c r="H17" i="3"/>
  <c r="H23" i="3"/>
  <c r="H24" i="3" l="1"/>
  <c r="H14" i="5" s="1"/>
  <c r="I23" i="3"/>
  <c r="I17" i="3"/>
  <c r="J16" i="3"/>
  <c r="J9" i="3"/>
  <c r="J12" i="5"/>
  <c r="J21" i="4"/>
  <c r="J25" i="4" s="1"/>
  <c r="G24" i="3"/>
  <c r="G14" i="5" s="1"/>
  <c r="F25" i="3"/>
  <c r="J17" i="3" l="1"/>
  <c r="J23" i="3"/>
  <c r="F22" i="1"/>
  <c r="F7" i="5"/>
  <c r="F15" i="5" s="1"/>
  <c r="F29" i="4"/>
  <c r="F26" i="3"/>
  <c r="F23" i="1" s="1"/>
  <c r="G25" i="3"/>
  <c r="I24" i="3"/>
  <c r="I14" i="5" s="1"/>
  <c r="H25" i="3"/>
  <c r="I25" i="3" l="1"/>
  <c r="I26" i="3" s="1"/>
  <c r="F35" i="5"/>
  <c r="F38" i="5" s="1"/>
  <c r="F7" i="6" s="1"/>
  <c r="F10" i="6" s="1"/>
  <c r="F30" i="5"/>
  <c r="F32" i="5" s="1"/>
  <c r="G29" i="4"/>
  <c r="H7" i="5"/>
  <c r="H15" i="5" s="1"/>
  <c r="H26" i="3"/>
  <c r="G7" i="5"/>
  <c r="G15" i="5" s="1"/>
  <c r="G26" i="3"/>
  <c r="G23" i="1" s="1"/>
  <c r="G22" i="1"/>
  <c r="J24" i="3"/>
  <c r="J14" i="5" s="1"/>
  <c r="I7" i="5" l="1"/>
  <c r="I15" i="5" s="1"/>
  <c r="I35" i="5" s="1"/>
  <c r="I38" i="5" s="1"/>
  <c r="I7" i="6" s="1"/>
  <c r="I10" i="6" s="1"/>
  <c r="H29" i="4"/>
  <c r="G35" i="5"/>
  <c r="G38" i="5" s="1"/>
  <c r="G7" i="6" s="1"/>
  <c r="G10" i="6" s="1"/>
  <c r="G30" i="5"/>
  <c r="H35" i="5"/>
  <c r="H38" i="5" s="1"/>
  <c r="H7" i="6" s="1"/>
  <c r="H10" i="6" s="1"/>
  <c r="H30" i="5"/>
  <c r="F7" i="4"/>
  <c r="F11" i="4" s="1"/>
  <c r="F15" i="4" s="1"/>
  <c r="G29" i="5"/>
  <c r="G32" i="5" s="1"/>
  <c r="J25" i="3"/>
  <c r="I30" i="5" l="1"/>
  <c r="I29" i="4"/>
  <c r="F33" i="4"/>
  <c r="F34" i="4" s="1"/>
  <c r="F36" i="4" s="1"/>
  <c r="J26" i="3"/>
  <c r="J7" i="5"/>
  <c r="J15" i="5" s="1"/>
  <c r="G7" i="4"/>
  <c r="G11" i="4" s="1"/>
  <c r="G15" i="4" s="1"/>
  <c r="H29" i="5"/>
  <c r="H32" i="5" s="1"/>
  <c r="J30" i="5" l="1"/>
  <c r="J35" i="5"/>
  <c r="J38" i="5" s="1"/>
  <c r="G33" i="4"/>
  <c r="G34" i="4" s="1"/>
  <c r="G36" i="4" s="1"/>
  <c r="I29" i="5"/>
  <c r="I32" i="5" s="1"/>
  <c r="H7" i="4"/>
  <c r="H11" i="4" s="1"/>
  <c r="H15" i="4" s="1"/>
  <c r="F38" i="4"/>
  <c r="J29" i="4"/>
  <c r="H33" i="4" l="1"/>
  <c r="H34" i="4" s="1"/>
  <c r="H36" i="4" s="1"/>
  <c r="J29" i="5"/>
  <c r="J32" i="5" s="1"/>
  <c r="J7" i="4" s="1"/>
  <c r="J11" i="4" s="1"/>
  <c r="J15" i="4" s="1"/>
  <c r="I7" i="4"/>
  <c r="I11" i="4" s="1"/>
  <c r="I15" i="4" s="1"/>
  <c r="G38" i="4"/>
  <c r="J7" i="6"/>
  <c r="J10" i="6" s="1"/>
  <c r="C11" i="6" s="1"/>
  <c r="C27" i="6"/>
  <c r="C28" i="6" s="1"/>
  <c r="C29" i="6" s="1"/>
  <c r="C33" i="6" s="1"/>
  <c r="H38" i="4" l="1"/>
  <c r="C34" i="6"/>
  <c r="C39" i="6" s="1"/>
  <c r="C41" i="6" s="1"/>
  <c r="C43" i="6" s="1"/>
  <c r="J33" i="4"/>
  <c r="J34" i="4" s="1"/>
  <c r="J36" i="4" s="1"/>
  <c r="I33" i="4"/>
  <c r="I34" i="4" s="1"/>
  <c r="I36" i="4" s="1"/>
  <c r="C35" i="6" l="1"/>
  <c r="J38" i="4"/>
  <c r="I38" i="4"/>
</calcChain>
</file>

<file path=xl/sharedStrings.xml><?xml version="1.0" encoding="utf-8"?>
<sst xmlns="http://schemas.openxmlformats.org/spreadsheetml/2006/main" count="324" uniqueCount="241">
  <si>
    <t>DLocal Limited  (NASDAQ: DLO)</t>
  </si>
  <si>
    <t>Equity Research  |  Initiating Coverage</t>
  </si>
  <si>
    <t>Payments Infrastructure  |  Emerging Markets  |  March 2026</t>
  </si>
  <si>
    <t xml:space="preserve">  SELL</t>
  </si>
  <si>
    <t>Price Target:  $8.50</t>
  </si>
  <si>
    <t>Current Price:  $11.61</t>
  </si>
  <si>
    <t>Downside:  (27%)</t>
  </si>
  <si>
    <t>INVESTMENT THESIS</t>
  </si>
  <si>
    <t>▪  Take Rate Compression</t>
  </si>
  <si>
    <t>Net take rate has fallen from 1.9% (2022) to 1.2% (2024) as competition intensifies. We model further decline to ~0.9% by 2027E, capping revenue upside despite strong TPV growth of 40%+ near-term.</t>
  </si>
  <si>
    <t>▪  Operating Leverage Not Yet Materializing</t>
  </si>
  <si>
    <t>G&amp;A grew 43% in 2024 vs revenue growth of 15%. Operating margin compressed from 31% to 19%. Cost discipline remains the key execution risk and is not yet visible in the numbers.</t>
  </si>
  <si>
    <t>▪  Valuation Offers No Margin of Safety</t>
  </si>
  <si>
    <t>DCF (WACC 12.2%, TGR 3.5%) yields $8.33/share. Stock trades at 4.6x EV/Revenue vs peer median of 2.5x. At $11.61 we see 27% downside with limited upside catalysts in the near term.</t>
  </si>
  <si>
    <t>FINANCIAL SUMMARY  (USD $000s)</t>
  </si>
  <si>
    <t>2022A</t>
  </si>
  <si>
    <t>2023A</t>
  </si>
  <si>
    <t>2024A</t>
  </si>
  <si>
    <t>2025E</t>
  </si>
  <si>
    <t>2026E</t>
  </si>
  <si>
    <t>Revenue</t>
  </si>
  <si>
    <t>Gross Profit</t>
  </si>
  <si>
    <t>Gross Margin %</t>
  </si>
  <si>
    <t>Operating Income</t>
  </si>
  <si>
    <t>Net Income</t>
  </si>
  <si>
    <t>Net Margin %</t>
  </si>
  <si>
    <t>VALUATION SUMMARY</t>
  </si>
  <si>
    <t>Method</t>
  </si>
  <si>
    <t>Implied Price</t>
  </si>
  <si>
    <t>Weight</t>
  </si>
  <si>
    <t>DCF — Base Case</t>
  </si>
  <si>
    <t>EV/Revenue — Peer Median</t>
  </si>
  <si>
    <t>EV/EBITDA — Peer Median</t>
  </si>
  <si>
    <t>KEY RISKS TO THESIS</t>
  </si>
  <si>
    <t>Upside Risk</t>
  </si>
  <si>
    <t>Take rate stabilization or faster expansion in Africa/SE Asia could drive significant revenue upside vs base case.</t>
  </si>
  <si>
    <t>Downside Risk</t>
  </si>
  <si>
    <t>Macro deterioration in Brazil/Argentina (60%+ of TPV) or regulatory changes to cross-border payments.</t>
  </si>
  <si>
    <t>Regulatory Risk</t>
  </si>
  <si>
    <t>Emerging market payment regulations remain fluid. New restrictions could structurally impair the business model.</t>
  </si>
  <si>
    <t xml:space="preserve">By: Prakhar Srivastava | NYU | MS Information System Management | Corporate Finance  </t>
  </si>
  <si>
    <t>Linkedin</t>
  </si>
  <si>
    <t>Dlocal Limited (NASDAQ: DLO)</t>
  </si>
  <si>
    <t>SCENARIO SELECTOR</t>
  </si>
  <si>
    <t>Assumptions &amp; Drivers</t>
  </si>
  <si>
    <t>Base</t>
  </si>
  <si>
    <t>All figured in USD thousands unless stated</t>
  </si>
  <si>
    <t>← Select scenario here</t>
  </si>
  <si>
    <t>2027E</t>
  </si>
  <si>
    <t>2028E</t>
  </si>
  <si>
    <t>2029E</t>
  </si>
  <si>
    <t>TPV &amp; REVENUE DRIVERS</t>
  </si>
  <si>
    <t>Total Payment Volume (TPV) $M</t>
  </si>
  <si>
    <t>YoY TPV Growth %</t>
  </si>
  <si>
    <t>Gross Take Rate %</t>
  </si>
  <si>
    <t>Net Take Rate %</t>
  </si>
  <si>
    <t>Revenue ($000s)</t>
  </si>
  <si>
    <t>Gross Profit ($000s)</t>
  </si>
  <si>
    <t>Revenue Check (TPV × GTR)</t>
  </si>
  <si>
    <t>FORECAST ASSUMPTIONS</t>
  </si>
  <si>
    <t>Active Scenario</t>
  </si>
  <si>
    <t>TPV Growth % (Base)</t>
  </si>
  <si>
    <t>TPV Growth % (Bull)</t>
  </si>
  <si>
    <t>TPV Growth % (Bear)</t>
  </si>
  <si>
    <t>TPV Growth % (Active)</t>
  </si>
  <si>
    <t>TAKE RATE ASSUMPTIONS</t>
  </si>
  <si>
    <t>Gross Take Rate (Base)</t>
  </si>
  <si>
    <t>Gross Take Rate (Bull)</t>
  </si>
  <si>
    <t>Gross Take Rate (Bear)</t>
  </si>
  <si>
    <t>Gross Take Rate (Active)</t>
  </si>
  <si>
    <t>Spread (Base)</t>
  </si>
  <si>
    <t>Spread (Bull)</t>
  </si>
  <si>
    <t>Spread (Bear)</t>
  </si>
  <si>
    <t>Spread (Active)</t>
  </si>
  <si>
    <t>Net Take Rate (Active)</t>
  </si>
  <si>
    <t>Net Take Rate (Base)</t>
  </si>
  <si>
    <t>Net Take Rate (Bull)</t>
  </si>
  <si>
    <t>Net Take Rate (Bear)</t>
  </si>
  <si>
    <t>OPEX ASSUMPTIONS</t>
  </si>
  <si>
    <t>Tech &amp; Dev Growth %</t>
  </si>
  <si>
    <t>Sales &amp; Marketing Growth %</t>
  </si>
  <si>
    <t>G&amp;A Growth %</t>
  </si>
  <si>
    <t>Impairment ($000s)</t>
  </si>
  <si>
    <t>Other Operating Loss ($000s)</t>
  </si>
  <si>
    <t>BELOW THE LINE ASSUMPTIONS</t>
  </si>
  <si>
    <t>Finance Income ($000s)</t>
  </si>
  <si>
    <t>Finance Costs ($000s)</t>
  </si>
  <si>
    <t>Inflation Adjustment ($000s)</t>
  </si>
  <si>
    <t>Effective Tax Rate %</t>
  </si>
  <si>
    <t>BALANCE SHEET ASSUMPTIONS</t>
  </si>
  <si>
    <t>Trade Receivables (Days of Revenue)</t>
  </si>
  <si>
    <t>Trade Payables (% of Revenue)</t>
  </si>
  <si>
    <t>Financial Assets FVPL ($000s)</t>
  </si>
  <si>
    <t>Share Buybacks ($000s)</t>
  </si>
  <si>
    <t>Other Current Assets ($000s)</t>
  </si>
  <si>
    <t>Other Non-Current Assets ($000s)</t>
  </si>
  <si>
    <t>DLocal Limited (NASDAQ: DLO)</t>
  </si>
  <si>
    <t>Consolidated Income Statement</t>
  </si>
  <si>
    <t>All figures in USD thousands unless stated</t>
  </si>
  <si>
    <t>Cost of Revenue</t>
  </si>
  <si>
    <t>Technology &amp; Development</t>
  </si>
  <si>
    <t>Sales &amp; Marketing</t>
  </si>
  <si>
    <t>General &amp; Administrative</t>
  </si>
  <si>
    <t>Impairment</t>
  </si>
  <si>
    <t>Other Operating Loss</t>
  </si>
  <si>
    <t>Operating Margin %</t>
  </si>
  <si>
    <t>Finance Income</t>
  </si>
  <si>
    <t>Finance Costs</t>
  </si>
  <si>
    <t>Inflation Adjustment</t>
  </si>
  <si>
    <t>Net Other Results</t>
  </si>
  <si>
    <t>Profit Before Tax</t>
  </si>
  <si>
    <t>Income Tax</t>
  </si>
  <si>
    <t>Net Profit Margin %</t>
  </si>
  <si>
    <t>Consolidated Balance Sheet</t>
  </si>
  <si>
    <t>ASSETS</t>
  </si>
  <si>
    <t>Cash and Cash Equivalents</t>
  </si>
  <si>
    <t>Trade and Other Receivables</t>
  </si>
  <si>
    <t>Financial Assets at Fair Value</t>
  </si>
  <si>
    <t>Other Current Assets</t>
  </si>
  <si>
    <t>Total Current Assets</t>
  </si>
  <si>
    <t>Right of Use Assets</t>
  </si>
  <si>
    <t>Other Non-Current Assets</t>
  </si>
  <si>
    <t>Total Non-Current Assets</t>
  </si>
  <si>
    <t>TOTAL ASSETS</t>
  </si>
  <si>
    <t>LIABILITIES</t>
  </si>
  <si>
    <t>Trade and Other Payables</t>
  </si>
  <si>
    <t>Financial Liabilities</t>
  </si>
  <si>
    <t>Other Current Liabilities</t>
  </si>
  <si>
    <t>Total Current Liabilities</t>
  </si>
  <si>
    <t>Lease Liabilities</t>
  </si>
  <si>
    <t>Other Non-Current Liabilities</t>
  </si>
  <si>
    <t>Total Non-Current Liabilities</t>
  </si>
  <si>
    <t>TOTAL LIABILITIES</t>
  </si>
  <si>
    <t>EQUITY</t>
  </si>
  <si>
    <t>Share Capital and Premium</t>
  </si>
  <si>
    <t>Retained Earnings</t>
  </si>
  <si>
    <t>Other Reserves</t>
  </si>
  <si>
    <t>Treasury Shares</t>
  </si>
  <si>
    <t>Non-Controlling Interest</t>
  </si>
  <si>
    <t>Other Equity Movements</t>
  </si>
  <si>
    <t>&lt;-captures SBC reclassifications and OCI items not explicitly modelled.</t>
  </si>
  <si>
    <t>TOTAL EQUITY</t>
  </si>
  <si>
    <t>TOTAL LIABILITIES AND EQUITY</t>
  </si>
  <si>
    <t>CHECK: Assets - Liabilities - Equity</t>
  </si>
  <si>
    <t>Consolidated Cash Flow Statement</t>
  </si>
  <si>
    <t>OPERATING ACTIVITIES</t>
  </si>
  <si>
    <t>Depreciation &amp; Amortization</t>
  </si>
  <si>
    <t>-</t>
  </si>
  <si>
    <t>Stock Based Compensation</t>
  </si>
  <si>
    <t>Fair Value Gains on Financial Assets</t>
  </si>
  <si>
    <t>Change in Trade Receivables</t>
  </si>
  <si>
    <t>Change in Trade Payables</t>
  </si>
  <si>
    <t>Other Operating Items (plug)</t>
  </si>
  <si>
    <t>Income Tax Paid</t>
  </si>
  <si>
    <t>Net Cash from Operations</t>
  </si>
  <si>
    <t>INVESTING ACTIVITIES</t>
  </si>
  <si>
    <t>Capital Expenditure(PP&amp;E)</t>
  </si>
  <si>
    <t>Additions of Intangibles (Capitalized Software)</t>
  </si>
  <si>
    <t>Change in Financial Assets (net)</t>
  </si>
  <si>
    <t>Net Cash from Investing</t>
  </si>
  <si>
    <t>FINANCING ACTIVITIES</t>
  </si>
  <si>
    <t>Share Buybacks</t>
  </si>
  <si>
    <t>Other Financing</t>
  </si>
  <si>
    <t>Net Cash from Financing</t>
  </si>
  <si>
    <t>CASH MOVEMENT</t>
  </si>
  <si>
    <t>Opening Cash Balance</t>
  </si>
  <si>
    <t>Net Cash Change</t>
  </si>
  <si>
    <t>FX Effects on Cash</t>
  </si>
  <si>
    <t>Closing Cash Balance</t>
  </si>
  <si>
    <t>FREE CASH FLOW</t>
  </si>
  <si>
    <t>Operating Cash Flow</t>
  </si>
  <si>
    <t>- Capital Expenditure</t>
  </si>
  <si>
    <t>- Capitalized Software</t>
  </si>
  <si>
    <t>= Free Cash Flow</t>
  </si>
  <si>
    <t>Discounted Cashflow Valuation</t>
  </si>
  <si>
    <t>FCF FORECAST</t>
  </si>
  <si>
    <t>Free Cash Flow ($000s)</t>
  </si>
  <si>
    <t>Discount Period</t>
  </si>
  <si>
    <t>Discount Factor</t>
  </si>
  <si>
    <t>Present Value of FCF</t>
  </si>
  <si>
    <t>Sum of PV of FCFs:</t>
  </si>
  <si>
    <t>WACC ASSUMPTIONS</t>
  </si>
  <si>
    <t>Risk Free Rate</t>
  </si>
  <si>
    <t>Equity Risk Premium</t>
  </si>
  <si>
    <t>Beta</t>
  </si>
  <si>
    <t>Cost of Equity</t>
  </si>
  <si>
    <t>Cost of Debt (pre-tax)</t>
  </si>
  <si>
    <t>Tax Rate</t>
  </si>
  <si>
    <t>Cost of Debt (post-tax)</t>
  </si>
  <si>
    <t>Equity Weight</t>
  </si>
  <si>
    <t>Debt Weight</t>
  </si>
  <si>
    <t>WACC</t>
  </si>
  <si>
    <t>TERMINAL VALUE</t>
  </si>
  <si>
    <t>Terminal Growth Rate</t>
  </si>
  <si>
    <t>Terminal Year FCF</t>
  </si>
  <si>
    <t>Terminal Value</t>
  </si>
  <si>
    <t>PV of Terminal Value</t>
  </si>
  <si>
    <t>VALUATION</t>
  </si>
  <si>
    <t>PV of FCF Forecast</t>
  </si>
  <si>
    <t>Enterprise Value</t>
  </si>
  <si>
    <t>% from Terminal Value</t>
  </si>
  <si>
    <t>+ Cash (own funds only)</t>
  </si>
  <si>
    <t>- Total Debt</t>
  </si>
  <si>
    <t>Equity Value</t>
  </si>
  <si>
    <t>Diluted Shares Outstanding</t>
  </si>
  <si>
    <t>Implied Share Price</t>
  </si>
  <si>
    <t>Current Share Price</t>
  </si>
  <si>
    <t>Upside / Downside</t>
  </si>
  <si>
    <t>SENSITIVITY ANALYSIS</t>
  </si>
  <si>
    <t>(WACC vs Terminal Growth Rate)</t>
  </si>
  <si>
    <t>Comparable Company Analysis</t>
  </si>
  <si>
    <t>All figures in USD thousands unless stated. Market data as of 2026</t>
  </si>
  <si>
    <t>Company</t>
  </si>
  <si>
    <t>Share Price</t>
  </si>
  <si>
    <t>Market Cap ($M)</t>
  </si>
  <si>
    <t>Net Debt ($M)</t>
  </si>
  <si>
    <t>Enterprise Value ($M)</t>
  </si>
  <si>
    <t>Revenue LTM ($M)</t>
  </si>
  <si>
    <t>EBITDA LTM ($M)</t>
  </si>
  <si>
    <t>Net Income LTM ($M)</t>
  </si>
  <si>
    <t>EV/Revenue</t>
  </si>
  <si>
    <t>EV/EBITDA</t>
  </si>
  <si>
    <t>P/E</t>
  </si>
  <si>
    <t>Revenue Growth</t>
  </si>
  <si>
    <t>EBITDA Margin</t>
  </si>
  <si>
    <t>DLocal(NASDAQ:DLO)</t>
  </si>
  <si>
    <t>Payoneer(NASDAQ: PAYO)</t>
  </si>
  <si>
    <t>Flywire(NASDAQ: FLYW)</t>
  </si>
  <si>
    <t>Remitly (NASDAQ: RELY)</t>
  </si>
  <si>
    <t>N/M</t>
  </si>
  <si>
    <t>Adyen (AMS: ADYEN)</t>
  </si>
  <si>
    <t>Shift4 (NYSE: FOUR)</t>
  </si>
  <si>
    <t>Mean</t>
  </si>
  <si>
    <t>Median</t>
  </si>
  <si>
    <t>DLocal Implied Price — EV/Revenue</t>
  </si>
  <si>
    <t>IMPLIED VALUATION</t>
  </si>
  <si>
    <t xml:space="preserve">E/V Revenue - Median Multiple </t>
  </si>
  <si>
    <t xml:space="preserve">E/V Revenue - Mean Multiple </t>
  </si>
  <si>
    <t xml:space="preserve">E/V EBITDA - Median Multiple </t>
  </si>
  <si>
    <t xml:space="preserve">E/V EBITDA - Mean Multiple </t>
  </si>
  <si>
    <t xml:space="preserve">P/E - Mean Multiple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</si>
</sst>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"/>
    <numFmt numFmtId="166" formatCode="\$#,##0.00_);[Red]&quot;($&quot;#,##0.00\)"/>
    <numFmt numFmtId="167" formatCode="0.000"/>
  </numFmts>
  <fonts count="41" x14ac:knownFonts="1">
    <font>
      <sz val="11"/>
      <color theme="1"/>
      <name val="Aptos Narrow"/>
      <family val="2"/>
      <charset val="1"/>
    </font>
    <font>
      <b/>
      <sz val="22"/>
      <color rgb="FFFFFFFF"/>
      <name val="Aptos Narrow"/>
      <family val="2"/>
      <charset val="1"/>
    </font>
    <font>
      <i/>
      <sz val="11"/>
      <color rgb="FF9AB0C4"/>
      <name val="Aptos Narrow"/>
      <family val="2"/>
      <charset val="1"/>
    </font>
    <font>
      <sz val="10"/>
      <color rgb="FF9AB0C4"/>
      <name val="Aptos Narrow"/>
      <family val="2"/>
      <charset val="1"/>
    </font>
    <font>
      <b/>
      <sz val="18"/>
      <color rgb="FFFFFFFF"/>
      <name val="Aptos Narrow"/>
      <family val="2"/>
      <charset val="1"/>
    </font>
    <font>
      <b/>
      <sz val="13"/>
      <color rgb="FF1A1A1A"/>
      <name val="Aptos Narrow"/>
      <family val="2"/>
      <charset val="1"/>
    </font>
    <font>
      <sz val="12"/>
      <color rgb="FF555555"/>
      <name val="Aptos Narrow"/>
      <family val="2"/>
      <charset val="1"/>
    </font>
    <font>
      <b/>
      <sz val="12"/>
      <color rgb="FFC00000"/>
      <name val="Aptos Narrow"/>
      <family val="2"/>
      <charset val="1"/>
    </font>
    <font>
      <b/>
      <sz val="9"/>
      <color rgb="FFFFFFFF"/>
      <name val="Aptos Narrow"/>
      <family val="2"/>
      <charset val="1"/>
    </font>
    <font>
      <b/>
      <sz val="10"/>
      <color rgb="FF0070C0"/>
      <name val="Aptos Narrow"/>
      <family val="2"/>
      <charset val="1"/>
    </font>
    <font>
      <sz val="9"/>
      <color rgb="FF1A1A1A"/>
      <name val="Aptos Narrow"/>
      <family val="2"/>
      <charset val="1"/>
    </font>
    <font>
      <b/>
      <sz val="9"/>
      <color rgb="FF555555"/>
      <name val="Aptos Narrow"/>
      <family val="2"/>
      <charset val="1"/>
    </font>
    <font>
      <b/>
      <sz val="9"/>
      <color rgb="FF1A1A1A"/>
      <name val="Aptos Narrow"/>
      <family val="2"/>
      <charset val="1"/>
    </font>
    <font>
      <i/>
      <sz val="9"/>
      <color rgb="FF666666"/>
      <name val="Aptos Narrow"/>
      <family val="2"/>
      <charset val="1"/>
    </font>
    <font>
      <i/>
      <sz val="8"/>
      <color rgb="FF888888"/>
      <name val="Aptos Narrow"/>
      <family val="2"/>
      <charset val="1"/>
    </font>
    <font>
      <b/>
      <sz val="9"/>
      <color rgb="FF00B050"/>
      <name val="Aptos Narrow"/>
      <family val="2"/>
      <charset val="1"/>
    </font>
    <font>
      <b/>
      <sz val="9"/>
      <color rgb="FFC00000"/>
      <name val="Aptos Narrow"/>
      <family val="2"/>
      <charset val="1"/>
    </font>
    <font>
      <b/>
      <sz val="9"/>
      <color rgb="FFFFC000"/>
      <name val="Aptos Narrow"/>
      <family val="2"/>
      <charset val="1"/>
    </font>
    <font>
      <i/>
      <sz val="10"/>
      <color theme="0"/>
      <name val="Aptos Narrow"/>
      <family val="2"/>
      <charset val="1"/>
    </font>
    <font>
      <u/>
      <sz val="11"/>
      <color theme="0"/>
      <name val="Aptos Narrow"/>
      <family val="2"/>
      <charset val="1"/>
    </font>
    <font>
      <b/>
      <sz val="16"/>
      <color theme="0"/>
      <name val="Aptos Narrow"/>
      <family val="2"/>
      <charset val="1"/>
    </font>
    <font>
      <b/>
      <sz val="9"/>
      <color rgb="FFFFFFFF"/>
      <name val="Aptos Narrow"/>
      <charset val="1"/>
    </font>
    <font>
      <b/>
      <sz val="11"/>
      <color theme="0"/>
      <name val="Aptos Narrow"/>
      <family val="2"/>
      <charset val="1"/>
    </font>
    <font>
      <b/>
      <sz val="12"/>
      <color rgb="FF001F3F"/>
      <name val="Aptos Narrow"/>
      <charset val="1"/>
    </font>
    <font>
      <i/>
      <sz val="9"/>
      <color theme="0"/>
      <name val="Aptos Narrow"/>
      <family val="2"/>
      <charset val="1"/>
    </font>
    <font>
      <sz val="8"/>
      <color rgb="FF888888"/>
      <name val="Aptos Narrow"/>
      <charset val="1"/>
    </font>
    <font>
      <b/>
      <sz val="11"/>
      <color theme="1"/>
      <name val="Aptos Narrow"/>
      <family val="2"/>
      <charset val="1"/>
    </font>
    <font>
      <b/>
      <sz val="12"/>
      <color theme="0"/>
      <name val="Aptos Narrow"/>
      <family val="2"/>
      <charset val="1"/>
    </font>
    <font>
      <sz val="11"/>
      <color rgb="FF0070C0"/>
      <name val="Aptos Narrow"/>
      <family val="2"/>
      <charset val="1"/>
    </font>
    <font>
      <b/>
      <sz val="10"/>
      <color rgb="FF1A1A1A"/>
      <name val="Aptos Narrow"/>
      <charset val="1"/>
    </font>
    <font>
      <b/>
      <sz val="10"/>
      <color rgb="FF001F3F"/>
      <name val="Aptos Narrow"/>
      <charset val="1"/>
    </font>
    <font>
      <sz val="10"/>
      <color rgb="FF1A1A1A"/>
      <name val="Aptos Narrow"/>
      <charset val="1"/>
    </font>
    <font>
      <sz val="10"/>
      <color rgb="FF0070C0"/>
      <name val="Aptos Narrow"/>
      <charset val="1"/>
    </font>
    <font>
      <sz val="11"/>
      <color theme="0"/>
      <name val="Aptos Narrow"/>
      <family val="2"/>
      <charset val="1"/>
    </font>
    <font>
      <b/>
      <sz val="11"/>
      <color rgb="FF0070C0"/>
      <name val="Aptos Narrow"/>
      <family val="2"/>
      <charset val="1"/>
    </font>
    <font>
      <b/>
      <sz val="11"/>
      <color rgb="FFFF0000"/>
      <name val="Aptos Narrow"/>
      <family val="2"/>
      <charset val="1"/>
    </font>
    <font>
      <b/>
      <sz val="10"/>
      <name val="Aptos Narrow"/>
      <family val="2"/>
    </font>
    <font>
      <sz val="11"/>
      <name val="Aptos Narrow"/>
      <family val="2"/>
    </font>
    <font>
      <sz val="10"/>
      <name val="Aptos Narrow"/>
      <family val="2"/>
    </font>
    <font>
      <sz val="11"/>
      <name val="Aptos Narrow"/>
      <family val="2"/>
      <charset val="1"/>
    </font>
    <font>
      <b/>
      <sz val="11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001F3F"/>
        <bgColor rgb="FF0E2841"/>
      </patternFill>
    </fill>
    <fill>
      <patternFill patternType="solid">
        <fgColor rgb="FFF2F2F2"/>
        <bgColor rgb="FFFAFAFA"/>
      </patternFill>
    </fill>
    <fill>
      <patternFill patternType="solid">
        <fgColor rgb="FFC00000"/>
        <bgColor rgb="FFFF0000"/>
      </patternFill>
    </fill>
    <fill>
      <patternFill patternType="solid">
        <fgColor theme="3"/>
        <bgColor rgb="FF001F3F"/>
      </patternFill>
    </fill>
    <fill>
      <patternFill patternType="solid">
        <fgColor rgb="FFFAFAFA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6" tint="0.39988402966399123"/>
        <bgColor rgb="FF00B050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70C0"/>
      </bottom>
      <diagonal/>
    </border>
    <border>
      <left/>
      <right/>
      <top/>
      <bottom style="hair">
        <color rgb="FFD9D9D9"/>
      </bottom>
      <diagonal/>
    </border>
    <border>
      <left style="medium">
        <color rgb="FF001F3F"/>
      </left>
      <right style="medium">
        <color rgb="FF001F3F"/>
      </right>
      <top style="medium">
        <color rgb="FF001F3F"/>
      </top>
      <bottom style="medium">
        <color rgb="FF001F3F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9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8" fillId="5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4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0" fillId="5" borderId="0" xfId="0" applyFill="1"/>
    <xf numFmtId="0" fontId="9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164" fontId="10" fillId="6" borderId="2" xfId="0" applyNumberFormat="1" applyFont="1" applyFill="1" applyBorder="1" applyAlignment="1">
      <alignment horizontal="center" vertical="center"/>
    </xf>
    <xf numFmtId="164" fontId="10" fillId="6" borderId="2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165" fontId="10" fillId="6" borderId="2" xfId="0" applyNumberFormat="1" applyFont="1" applyFill="1" applyBorder="1" applyAlignment="1">
      <alignment horizontal="center" vertical="center"/>
    </xf>
    <xf numFmtId="165" fontId="10" fillId="6" borderId="2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166" fontId="10" fillId="0" borderId="0" xfId="0" applyNumberFormat="1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0" fillId="5" borderId="0" xfId="0" applyFont="1" applyFill="1"/>
    <xf numFmtId="0" fontId="21" fillId="2" borderId="0" xfId="0" applyFont="1" applyFill="1" applyAlignment="1">
      <alignment horizontal="center" vertical="center"/>
    </xf>
    <xf numFmtId="0" fontId="22" fillId="5" borderId="0" xfId="0" applyFont="1" applyFill="1"/>
    <xf numFmtId="0" fontId="23" fillId="7" borderId="3" xfId="0" applyFont="1" applyFill="1" applyBorder="1" applyAlignment="1">
      <alignment horizontal="center" vertical="center"/>
    </xf>
    <xf numFmtId="0" fontId="24" fillId="5" borderId="0" xfId="0" applyFont="1" applyFill="1"/>
    <xf numFmtId="0" fontId="25" fillId="0" borderId="0" xfId="0" applyFont="1" applyAlignment="1">
      <alignment horizontal="left" vertical="center"/>
    </xf>
    <xf numFmtId="0" fontId="26" fillId="0" borderId="4" xfId="0" applyFont="1" applyBorder="1" applyAlignment="1">
      <alignment horizontal="center"/>
    </xf>
    <xf numFmtId="0" fontId="27" fillId="5" borderId="0" xfId="0" applyFont="1" applyFill="1"/>
    <xf numFmtId="3" fontId="28" fillId="0" borderId="0" xfId="0" applyNumberFormat="1" applyFont="1"/>
    <xf numFmtId="3" fontId="0" fillId="0" borderId="0" xfId="0" applyNumberFormat="1"/>
    <xf numFmtId="165" fontId="28" fillId="0" borderId="0" xfId="0" applyNumberFormat="1" applyFont="1"/>
    <xf numFmtId="165" fontId="0" fillId="0" borderId="0" xfId="0" applyNumberFormat="1"/>
    <xf numFmtId="10" fontId="28" fillId="0" borderId="0" xfId="0" applyNumberFormat="1" applyFont="1"/>
    <xf numFmtId="10" fontId="0" fillId="0" borderId="0" xfId="0" applyNumberFormat="1"/>
    <xf numFmtId="0" fontId="30" fillId="7" borderId="0" xfId="0" applyFont="1" applyFill="1" applyAlignment="1">
      <alignment horizontal="center" vertical="center"/>
    </xf>
    <xf numFmtId="0" fontId="31" fillId="0" borderId="0" xfId="0" applyFont="1"/>
    <xf numFmtId="165" fontId="32" fillId="0" borderId="0" xfId="0" applyNumberFormat="1" applyFont="1"/>
    <xf numFmtId="10" fontId="32" fillId="0" borderId="0" xfId="0" applyNumberFormat="1" applyFont="1"/>
    <xf numFmtId="0" fontId="28" fillId="0" borderId="0" xfId="0" applyFont="1" applyAlignment="1">
      <alignment horizontal="right"/>
    </xf>
    <xf numFmtId="9" fontId="28" fillId="0" borderId="0" xfId="0" applyNumberFormat="1" applyFont="1"/>
    <xf numFmtId="0" fontId="28" fillId="0" borderId="0" xfId="0" applyFont="1"/>
    <xf numFmtId="0" fontId="33" fillId="5" borderId="0" xfId="0" applyFont="1" applyFill="1"/>
    <xf numFmtId="0" fontId="26" fillId="0" borderId="5" xfId="0" applyFont="1" applyBorder="1"/>
    <xf numFmtId="3" fontId="26" fillId="0" borderId="5" xfId="0" applyNumberFormat="1" applyFont="1" applyBorder="1"/>
    <xf numFmtId="3" fontId="34" fillId="0" borderId="0" xfId="0" applyNumberFormat="1" applyFont="1"/>
    <xf numFmtId="0" fontId="26" fillId="0" borderId="0" xfId="0" applyFont="1"/>
    <xf numFmtId="3" fontId="26" fillId="0" borderId="0" xfId="0" applyNumberFormat="1" applyFont="1"/>
    <xf numFmtId="0" fontId="35" fillId="0" borderId="0" xfId="0" applyFont="1"/>
    <xf numFmtId="3" fontId="0" fillId="0" borderId="0" xfId="0" applyNumberFormat="1" applyAlignment="1">
      <alignment horizontal="center"/>
    </xf>
    <xf numFmtId="3" fontId="0" fillId="0" borderId="5" xfId="0" applyNumberFormat="1" applyBorder="1" applyAlignment="1">
      <alignment horizontal="center"/>
    </xf>
    <xf numFmtId="0" fontId="26" fillId="0" borderId="0" xfId="0" applyFont="1" applyAlignment="1">
      <alignment horizontal="center"/>
    </xf>
    <xf numFmtId="0" fontId="0" fillId="0" borderId="5" xfId="0" applyBorder="1"/>
    <xf numFmtId="0" fontId="0" fillId="0" borderId="0" xfId="0" applyAlignment="1">
      <alignment horizontal="center"/>
    </xf>
    <xf numFmtId="2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165" fontId="26" fillId="0" borderId="0" xfId="0" applyNumberFormat="1" applyFont="1"/>
    <xf numFmtId="0" fontId="0" fillId="8" borderId="0" xfId="0" applyFill="1"/>
    <xf numFmtId="0" fontId="0" fillId="9" borderId="0" xfId="0" applyFill="1"/>
    <xf numFmtId="167" fontId="0" fillId="0" borderId="0" xfId="0" applyNumberFormat="1"/>
    <xf numFmtId="2" fontId="0" fillId="0" borderId="5" xfId="0" applyNumberFormat="1" applyBorder="1"/>
    <xf numFmtId="0" fontId="37" fillId="0" borderId="0" xfId="0" applyFont="1" applyFill="1"/>
    <xf numFmtId="10" fontId="38" fillId="0" borderId="0" xfId="0" applyNumberFormat="1" applyFont="1" applyFill="1"/>
    <xf numFmtId="10" fontId="36" fillId="0" borderId="0" xfId="0" applyNumberFormat="1" applyFont="1" applyFill="1"/>
    <xf numFmtId="0" fontId="36" fillId="10" borderId="0" xfId="0" applyFont="1" applyFill="1"/>
    <xf numFmtId="165" fontId="36" fillId="10" borderId="0" xfId="0" applyNumberFormat="1" applyFont="1" applyFill="1"/>
    <xf numFmtId="10" fontId="36" fillId="10" borderId="0" xfId="0" applyNumberFormat="1" applyFont="1" applyFill="1"/>
    <xf numFmtId="0" fontId="29" fillId="10" borderId="0" xfId="0" applyFont="1" applyFill="1"/>
    <xf numFmtId="0" fontId="39" fillId="10" borderId="0" xfId="0" applyFont="1" applyFill="1"/>
    <xf numFmtId="0" fontId="0" fillId="0" borderId="4" xfId="0" applyBorder="1" applyAlignment="1">
      <alignment horizontal="center" vertical="center"/>
    </xf>
    <xf numFmtId="3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" xfId="0" applyNumberFormat="1" applyBorder="1" applyAlignment="1">
      <alignment horizontal="center"/>
    </xf>
    <xf numFmtId="0" fontId="40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9AB0C4"/>
      <rgbColor rgb="FF888888"/>
      <rgbColor rgb="FF9999FF"/>
      <rgbColor rgb="FF993366"/>
      <rgbColor rgb="FFFAFAFA"/>
      <rgbColor rgb="FFF2F2F2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7D45A"/>
      <rgbColor rgb="FF99CC00"/>
      <rgbColor rgb="FFFFC000"/>
      <rgbColor rgb="FFFF9900"/>
      <rgbColor rgb="FFFF6600"/>
      <rgbColor rgb="FF666666"/>
      <rgbColor rgb="FF969696"/>
      <rgbColor rgb="FF0E2841"/>
      <rgbColor rgb="FF00B050"/>
      <rgbColor rgb="FF001F3F"/>
      <rgbColor rgb="FF333300"/>
      <rgbColor rgb="FF993300"/>
      <rgbColor rgb="FF993366"/>
      <rgbColor rgb="FF555555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prakhar179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2841"/>
  </sheetPr>
  <dimension ref="A1:H37"/>
  <sheetViews>
    <sheetView showGridLines="0" tabSelected="1" zoomScaleNormal="100" workbookViewId="0">
      <selection activeCell="M31" sqref="M31"/>
    </sheetView>
  </sheetViews>
  <sheetFormatPr defaultColWidth="8.7109375" defaultRowHeight="15" x14ac:dyDescent="0.25"/>
  <cols>
    <col min="1" max="1" width="3" customWidth="1"/>
    <col min="2" max="2" width="34.7109375" customWidth="1"/>
    <col min="3" max="7" width="14" customWidth="1"/>
    <col min="8" max="8" width="3" customWidth="1"/>
  </cols>
  <sheetData>
    <row r="1" spans="1:8" ht="7.5" customHeight="1" x14ac:dyDescent="0.25">
      <c r="A1" s="11"/>
      <c r="B1" s="11"/>
      <c r="C1" s="11"/>
      <c r="D1" s="11"/>
      <c r="E1" s="11"/>
      <c r="F1" s="11"/>
      <c r="G1" s="11"/>
      <c r="H1" s="11"/>
    </row>
    <row r="2" spans="1:8" ht="28.5" customHeight="1" x14ac:dyDescent="0.25">
      <c r="A2" s="11"/>
      <c r="B2" s="10" t="s">
        <v>0</v>
      </c>
      <c r="C2" s="10"/>
      <c r="D2" s="10"/>
      <c r="E2" s="10"/>
      <c r="F2" s="10"/>
      <c r="G2" s="10"/>
      <c r="H2" s="11"/>
    </row>
    <row r="3" spans="1:8" ht="18" customHeight="1" x14ac:dyDescent="0.25">
      <c r="A3" s="11"/>
      <c r="B3" s="9" t="s">
        <v>1</v>
      </c>
      <c r="C3" s="9"/>
      <c r="D3" s="9"/>
      <c r="E3" s="9"/>
      <c r="F3" s="9"/>
      <c r="G3" s="9"/>
      <c r="H3" s="11"/>
    </row>
    <row r="4" spans="1:8" ht="9.75" customHeight="1" x14ac:dyDescent="0.25">
      <c r="A4" s="11"/>
      <c r="B4" s="11"/>
      <c r="C4" s="11"/>
      <c r="D4" s="11"/>
      <c r="E4" s="11"/>
      <c r="F4" s="11"/>
      <c r="G4" s="11"/>
      <c r="H4" s="11"/>
    </row>
    <row r="5" spans="1:8" ht="19.5" customHeight="1" x14ac:dyDescent="0.25">
      <c r="A5" s="11"/>
      <c r="B5" s="8" t="s">
        <v>2</v>
      </c>
      <c r="C5" s="8"/>
      <c r="D5" s="8"/>
      <c r="E5" s="8"/>
      <c r="F5" s="8"/>
      <c r="G5" s="8"/>
      <c r="H5" s="11"/>
    </row>
    <row r="6" spans="1:8" ht="7.5" customHeight="1" x14ac:dyDescent="0.25">
      <c r="A6" s="11"/>
      <c r="B6" s="11"/>
      <c r="C6" s="11"/>
      <c r="D6" s="11"/>
      <c r="E6" s="11"/>
      <c r="F6" s="11"/>
      <c r="G6" s="11"/>
      <c r="H6" s="11"/>
    </row>
    <row r="7" spans="1:8" ht="7.5" customHeight="1" x14ac:dyDescent="0.25">
      <c r="A7" s="11"/>
      <c r="B7" s="11"/>
      <c r="C7" s="11"/>
      <c r="D7" s="11"/>
      <c r="E7" s="11"/>
      <c r="F7" s="11"/>
      <c r="G7" s="11"/>
      <c r="H7" s="11"/>
    </row>
    <row r="8" spans="1:8" ht="7.5" customHeight="1" x14ac:dyDescent="0.25">
      <c r="A8" s="12"/>
      <c r="B8" s="12"/>
      <c r="C8" s="12"/>
      <c r="D8" s="12"/>
      <c r="E8" s="12"/>
      <c r="F8" s="12"/>
      <c r="G8" s="12"/>
      <c r="H8" s="12"/>
    </row>
    <row r="9" spans="1:8" ht="23.25" customHeight="1" x14ac:dyDescent="0.25">
      <c r="A9" s="12"/>
      <c r="B9" s="13" t="s">
        <v>3</v>
      </c>
      <c r="C9" s="7" t="s">
        <v>4</v>
      </c>
      <c r="D9" s="7"/>
      <c r="E9" s="6" t="s">
        <v>5</v>
      </c>
      <c r="F9" s="6"/>
      <c r="G9" s="14" t="s">
        <v>6</v>
      </c>
      <c r="H9" s="12"/>
    </row>
    <row r="10" spans="1:8" ht="7.5" customHeight="1" x14ac:dyDescent="0.25">
      <c r="A10" s="12"/>
      <c r="B10" s="12"/>
      <c r="C10" s="12"/>
      <c r="D10" s="12"/>
      <c r="E10" s="12"/>
      <c r="F10" s="12"/>
      <c r="G10" s="12"/>
      <c r="H10" s="12"/>
    </row>
    <row r="11" spans="1:8" ht="18" customHeight="1" x14ac:dyDescent="0.25">
      <c r="B11" s="5" t="s">
        <v>7</v>
      </c>
      <c r="C11" s="5"/>
      <c r="D11" s="5"/>
      <c r="E11" s="5"/>
      <c r="F11" s="5"/>
      <c r="G11" s="5"/>
      <c r="H11" s="15"/>
    </row>
    <row r="12" spans="1:8" ht="29.25" customHeight="1" x14ac:dyDescent="0.25">
      <c r="B12" s="16" t="s">
        <v>8</v>
      </c>
      <c r="C12" s="4" t="s">
        <v>9</v>
      </c>
      <c r="D12" s="4"/>
      <c r="E12" s="4"/>
      <c r="F12" s="4"/>
      <c r="G12" s="4"/>
    </row>
    <row r="13" spans="1:8" ht="27.75" customHeight="1" x14ac:dyDescent="0.25">
      <c r="B13" s="16" t="s">
        <v>10</v>
      </c>
      <c r="C13" s="4" t="s">
        <v>11</v>
      </c>
      <c r="D13" s="4"/>
      <c r="E13" s="4"/>
      <c r="F13" s="4"/>
      <c r="G13" s="4"/>
    </row>
    <row r="14" spans="1:8" ht="26.25" customHeight="1" x14ac:dyDescent="0.25">
      <c r="B14" s="16" t="s">
        <v>12</v>
      </c>
      <c r="C14" s="4" t="s">
        <v>13</v>
      </c>
      <c r="D14" s="4"/>
      <c r="E14" s="4"/>
      <c r="F14" s="4"/>
      <c r="G14" s="4"/>
    </row>
    <row r="15" spans="1:8" ht="7.5" customHeight="1" x14ac:dyDescent="0.25"/>
    <row r="16" spans="1:8" ht="18" customHeight="1" x14ac:dyDescent="0.25">
      <c r="B16" s="5" t="s">
        <v>14</v>
      </c>
      <c r="C16" s="5"/>
      <c r="D16" s="5"/>
      <c r="E16" s="5"/>
      <c r="F16" s="5"/>
      <c r="G16" s="5"/>
      <c r="H16" s="15"/>
    </row>
    <row r="17" spans="2:8" ht="19.5" customHeight="1" x14ac:dyDescent="0.25">
      <c r="B17" s="17"/>
      <c r="C17" s="18" t="s">
        <v>15</v>
      </c>
      <c r="D17" s="18" t="s">
        <v>16</v>
      </c>
      <c r="E17" s="18" t="s">
        <v>17</v>
      </c>
      <c r="F17" s="18" t="s">
        <v>18</v>
      </c>
      <c r="G17" s="18" t="s">
        <v>19</v>
      </c>
      <c r="H17" s="18"/>
    </row>
    <row r="18" spans="2:8" ht="19.5" customHeight="1" x14ac:dyDescent="0.25">
      <c r="B18" s="19" t="s">
        <v>20</v>
      </c>
      <c r="C18" s="20">
        <f>'Income Statement'!C6</f>
        <v>418925</v>
      </c>
      <c r="D18" s="20">
        <f>'Income Statement'!D6</f>
        <v>650351</v>
      </c>
      <c r="E18" s="20">
        <f>'Income Statement'!E6</f>
        <v>745974</v>
      </c>
      <c r="F18" s="20">
        <f>'Income Statement'!F6</f>
        <v>984637.5</v>
      </c>
      <c r="G18" s="20">
        <f>'Income Statement'!G6</f>
        <v>1243006.3800000001</v>
      </c>
      <c r="H18" s="21"/>
    </row>
    <row r="19" spans="2:8" ht="19.5" customHeight="1" x14ac:dyDescent="0.25">
      <c r="B19" s="19" t="s">
        <v>21</v>
      </c>
      <c r="C19" s="20">
        <f>'Income Statement'!C8</f>
        <v>202167</v>
      </c>
      <c r="D19" s="20">
        <f>'Income Statement'!D8</f>
        <v>276859</v>
      </c>
      <c r="E19" s="20">
        <f>'Income Statement'!E8</f>
        <v>294673</v>
      </c>
      <c r="F19" s="20">
        <f>'Income Statement'!F8</f>
        <v>368791.5</v>
      </c>
      <c r="G19" s="20">
        <f>'Income Statement'!G8</f>
        <v>448994.70000000019</v>
      </c>
      <c r="H19" s="21"/>
    </row>
    <row r="20" spans="2:8" ht="19.5" customHeight="1" x14ac:dyDescent="0.25">
      <c r="B20" s="22" t="s">
        <v>22</v>
      </c>
      <c r="C20" s="23">
        <f>'Income Statement'!C9</f>
        <v>0.48258518827952496</v>
      </c>
      <c r="D20" s="23">
        <f>'Income Statement'!D9</f>
        <v>0.42570704127463477</v>
      </c>
      <c r="E20" s="23">
        <f>'Income Statement'!E9</f>
        <v>0.39501778882373917</v>
      </c>
      <c r="F20" s="23">
        <f>'Income Statement'!F9</f>
        <v>0.37454545454545457</v>
      </c>
      <c r="G20" s="23">
        <f>'Income Statement'!G9</f>
        <v>0.3612167300380229</v>
      </c>
      <c r="H20" s="24"/>
    </row>
    <row r="21" spans="2:8" ht="19.5" customHeight="1" x14ac:dyDescent="0.25">
      <c r="B21" s="19" t="s">
        <v>23</v>
      </c>
      <c r="C21" s="20">
        <f>'Income Statement'!C16</f>
        <v>127910</v>
      </c>
      <c r="D21" s="20">
        <f>'Income Statement'!D16</f>
        <v>179657</v>
      </c>
      <c r="E21" s="20">
        <f>'Income Statement'!E16</f>
        <v>140500</v>
      </c>
      <c r="F21" s="20">
        <f>'Income Statement'!F16</f>
        <v>182819.53000000003</v>
      </c>
      <c r="G21" s="20">
        <f>'Income Statement'!G16</f>
        <v>227396.21290000019</v>
      </c>
      <c r="H21" s="21"/>
    </row>
    <row r="22" spans="2:8" ht="19.5" customHeight="1" x14ac:dyDescent="0.25">
      <c r="B22" s="19" t="s">
        <v>24</v>
      </c>
      <c r="C22" s="20">
        <f>'Income Statement'!C25</f>
        <v>108697</v>
      </c>
      <c r="D22" s="20">
        <f>'Income Statement'!D25</f>
        <v>149086</v>
      </c>
      <c r="E22" s="20">
        <f>'Income Statement'!E25</f>
        <v>120469</v>
      </c>
      <c r="F22" s="20">
        <f>'Income Statement'!F25</f>
        <v>149167.42870000002</v>
      </c>
      <c r="G22" s="20">
        <f>'Income Statement'!G25</f>
        <v>175809.04606200015</v>
      </c>
      <c r="H22" s="21"/>
    </row>
    <row r="23" spans="2:8" ht="15" customHeight="1" x14ac:dyDescent="0.25">
      <c r="B23" s="22" t="s">
        <v>25</v>
      </c>
      <c r="C23" s="23">
        <f>'Income Statement'!C26</f>
        <v>0.25946649161544427</v>
      </c>
      <c r="D23" s="23">
        <f>'Income Statement'!D26</f>
        <v>0.22923928770771476</v>
      </c>
      <c r="E23" s="23">
        <f>'Income Statement'!E26</f>
        <v>0.16149222358956211</v>
      </c>
      <c r="F23" s="23">
        <f>'Income Statement'!F26</f>
        <v>0.15149476705894302</v>
      </c>
      <c r="G23" s="23">
        <f>'Income Statement'!G26</f>
        <v>0.14143857094442278</v>
      </c>
      <c r="H23" s="24"/>
    </row>
    <row r="24" spans="2:8" ht="6" customHeight="1" x14ac:dyDescent="0.25">
      <c r="B24" s="3"/>
      <c r="C24" s="3"/>
      <c r="D24" s="3"/>
      <c r="E24" s="3"/>
      <c r="F24" s="3"/>
      <c r="G24" s="3"/>
    </row>
    <row r="25" spans="2:8" ht="19.5" customHeight="1" x14ac:dyDescent="0.25">
      <c r="B25" s="5" t="s">
        <v>26</v>
      </c>
      <c r="C25" s="5"/>
      <c r="D25" s="5"/>
      <c r="E25" s="5"/>
      <c r="F25" s="5"/>
      <c r="G25" s="5"/>
      <c r="H25" s="15"/>
    </row>
    <row r="26" spans="2:8" ht="19.5" customHeight="1" x14ac:dyDescent="0.25">
      <c r="B26" s="17" t="s">
        <v>27</v>
      </c>
      <c r="C26" s="18" t="s">
        <v>28</v>
      </c>
      <c r="D26" s="18" t="s">
        <v>29</v>
      </c>
      <c r="E26" s="18"/>
      <c r="F26" s="18"/>
      <c r="G26" s="18"/>
      <c r="H26" s="18"/>
    </row>
    <row r="27" spans="2:8" ht="19.5" customHeight="1" x14ac:dyDescent="0.25">
      <c r="B27" s="25" t="s">
        <v>30</v>
      </c>
      <c r="C27" s="26">
        <v>8.33</v>
      </c>
      <c r="D27" s="27">
        <v>0.5</v>
      </c>
      <c r="E27" s="28"/>
      <c r="F27" s="28"/>
      <c r="G27" s="28"/>
    </row>
    <row r="28" spans="2:8" ht="19.5" customHeight="1" x14ac:dyDescent="0.25">
      <c r="B28" s="25" t="s">
        <v>31</v>
      </c>
      <c r="C28" s="26">
        <v>6.44</v>
      </c>
      <c r="D28" s="27">
        <v>0.25</v>
      </c>
      <c r="E28" s="28"/>
      <c r="F28" s="28"/>
      <c r="G28" s="28"/>
    </row>
    <row r="29" spans="2:8" ht="18" customHeight="1" x14ac:dyDescent="0.25">
      <c r="B29" s="25" t="s">
        <v>32</v>
      </c>
      <c r="C29" s="26">
        <v>8.67</v>
      </c>
      <c r="D29" s="27">
        <v>0.25</v>
      </c>
      <c r="E29" s="28"/>
      <c r="F29" s="28"/>
      <c r="G29" s="28"/>
    </row>
    <row r="30" spans="2:8" ht="21.75" customHeight="1" x14ac:dyDescent="0.25">
      <c r="B30" s="5" t="s">
        <v>33</v>
      </c>
      <c r="C30" s="5"/>
      <c r="D30" s="5"/>
      <c r="E30" s="5"/>
      <c r="F30" s="5"/>
      <c r="G30" s="5"/>
      <c r="H30" s="15"/>
    </row>
    <row r="31" spans="2:8" ht="34.5" customHeight="1" x14ac:dyDescent="0.25">
      <c r="B31" s="29" t="s">
        <v>34</v>
      </c>
      <c r="C31" s="4" t="s">
        <v>35</v>
      </c>
      <c r="D31" s="4"/>
      <c r="E31" s="4"/>
      <c r="F31" s="4"/>
      <c r="G31" s="4"/>
    </row>
    <row r="32" spans="2:8" ht="30" customHeight="1" x14ac:dyDescent="0.25">
      <c r="B32" s="30" t="s">
        <v>36</v>
      </c>
      <c r="C32" s="4" t="s">
        <v>37</v>
      </c>
      <c r="D32" s="4"/>
      <c r="E32" s="4"/>
      <c r="F32" s="4"/>
      <c r="G32" s="4"/>
    </row>
    <row r="33" spans="1:8" ht="24" customHeight="1" x14ac:dyDescent="0.25">
      <c r="B33" s="31" t="s">
        <v>38</v>
      </c>
      <c r="C33" s="4" t="s">
        <v>39</v>
      </c>
      <c r="D33" s="4"/>
      <c r="E33" s="4"/>
      <c r="F33" s="4"/>
      <c r="G33" s="4"/>
    </row>
    <row r="34" spans="1:8" ht="7.5" customHeight="1" x14ac:dyDescent="0.25"/>
    <row r="35" spans="1:8" ht="18" customHeight="1" x14ac:dyDescent="0.25">
      <c r="A35" s="11"/>
      <c r="B35" s="11"/>
      <c r="C35" s="11"/>
      <c r="D35" s="11"/>
      <c r="E35" s="11"/>
      <c r="F35" s="11"/>
      <c r="G35" s="11"/>
      <c r="H35" s="11"/>
    </row>
    <row r="36" spans="1:8" ht="18" customHeight="1" x14ac:dyDescent="0.25">
      <c r="A36" s="11"/>
      <c r="B36" s="2" t="s">
        <v>40</v>
      </c>
      <c r="C36" s="2"/>
      <c r="D36" s="2"/>
      <c r="E36" s="2"/>
      <c r="F36" s="1" t="s">
        <v>41</v>
      </c>
      <c r="G36" s="1"/>
      <c r="H36" s="11"/>
    </row>
    <row r="37" spans="1:8" ht="18" customHeight="1" x14ac:dyDescent="0.25">
      <c r="A37" s="11"/>
      <c r="B37" s="11"/>
      <c r="C37" s="11"/>
      <c r="D37" s="11"/>
      <c r="E37" s="11"/>
      <c r="F37" s="11"/>
      <c r="G37" s="11"/>
      <c r="H37" s="11"/>
    </row>
  </sheetData>
  <mergeCells count="18">
    <mergeCell ref="C33:G33"/>
    <mergeCell ref="B36:E36"/>
    <mergeCell ref="F36:G36"/>
    <mergeCell ref="B24:G24"/>
    <mergeCell ref="B25:G25"/>
    <mergeCell ref="B30:G30"/>
    <mergeCell ref="C31:G31"/>
    <mergeCell ref="C32:G32"/>
    <mergeCell ref="B11:G11"/>
    <mergeCell ref="C12:G12"/>
    <mergeCell ref="C13:G13"/>
    <mergeCell ref="C14:G14"/>
    <mergeCell ref="B16:G16"/>
    <mergeCell ref="B2:G2"/>
    <mergeCell ref="B3:G3"/>
    <mergeCell ref="B5:G5"/>
    <mergeCell ref="C9:D9"/>
    <mergeCell ref="E9:F9"/>
  </mergeCells>
  <hyperlinks>
    <hyperlink ref="F36" r:id="rId1" xr:uid="{00000000-0004-0000-00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B1:L53"/>
  <sheetViews>
    <sheetView showGridLines="0" topLeftCell="A25" zoomScale="96" zoomScaleNormal="96" workbookViewId="0">
      <selection activeCell="N19" sqref="N19"/>
    </sheetView>
  </sheetViews>
  <sheetFormatPr defaultColWidth="8.5703125" defaultRowHeight="15" x14ac:dyDescent="0.25"/>
  <cols>
    <col min="2" max="2" width="39.5703125" customWidth="1"/>
    <col min="6" max="10" width="9.42578125" customWidth="1"/>
    <col min="11" max="11" width="4" customWidth="1"/>
    <col min="12" max="12" width="18" customWidth="1"/>
  </cols>
  <sheetData>
    <row r="1" spans="2:12" ht="21" customHeight="1" x14ac:dyDescent="0.35">
      <c r="B1" s="32" t="s">
        <v>42</v>
      </c>
      <c r="L1" s="33" t="s">
        <v>43</v>
      </c>
    </row>
    <row r="2" spans="2:12" ht="15" customHeight="1" x14ac:dyDescent="0.25">
      <c r="B2" s="34" t="s">
        <v>44</v>
      </c>
      <c r="L2" s="35" t="s">
        <v>45</v>
      </c>
    </row>
    <row r="3" spans="2:12" ht="14.25" customHeight="1" x14ac:dyDescent="0.25">
      <c r="B3" s="36" t="s">
        <v>46</v>
      </c>
      <c r="L3" s="37" t="s">
        <v>47</v>
      </c>
    </row>
    <row r="5" spans="2:12" ht="14.25" customHeight="1" x14ac:dyDescent="0.25">
      <c r="C5" s="38" t="s">
        <v>15</v>
      </c>
      <c r="D5" s="38" t="s">
        <v>16</v>
      </c>
      <c r="E5" s="38" t="s">
        <v>17</v>
      </c>
      <c r="F5" s="38" t="s">
        <v>18</v>
      </c>
      <c r="G5" s="38" t="s">
        <v>19</v>
      </c>
      <c r="H5" s="38" t="s">
        <v>48</v>
      </c>
      <c r="I5" s="38" t="s">
        <v>49</v>
      </c>
      <c r="J5" s="38" t="s">
        <v>50</v>
      </c>
    </row>
    <row r="6" spans="2:12" ht="15" customHeight="1" x14ac:dyDescent="0.25">
      <c r="B6" s="39" t="s">
        <v>51</v>
      </c>
    </row>
    <row r="7" spans="2:12" ht="14.25" customHeight="1" x14ac:dyDescent="0.25">
      <c r="B7" t="s">
        <v>52</v>
      </c>
      <c r="C7" s="40">
        <v>10567</v>
      </c>
      <c r="D7" s="40">
        <v>17677</v>
      </c>
      <c r="E7" s="40">
        <v>25575</v>
      </c>
      <c r="F7" s="41">
        <f>E7*(1+F20)</f>
        <v>35805</v>
      </c>
      <c r="G7" s="41">
        <f>F7*(1+G20)</f>
        <v>47262.600000000006</v>
      </c>
      <c r="H7" s="41">
        <f>G7*(1+H20)</f>
        <v>59550.876000000011</v>
      </c>
      <c r="I7" s="41">
        <f>H7*(1+I20)</f>
        <v>71461.051200000016</v>
      </c>
      <c r="J7" s="41">
        <f>I7*(1+J20)</f>
        <v>83609.429904000019</v>
      </c>
    </row>
    <row r="8" spans="2:12" ht="14.25" customHeight="1" x14ac:dyDescent="0.25">
      <c r="B8" t="s">
        <v>53</v>
      </c>
      <c r="C8" s="42"/>
      <c r="D8" s="42">
        <v>0.67310000000000003</v>
      </c>
      <c r="E8" s="42">
        <v>0.44719999999999999</v>
      </c>
      <c r="F8" s="43">
        <f>F20</f>
        <v>0.4</v>
      </c>
      <c r="G8" s="43">
        <f>G20</f>
        <v>0.32</v>
      </c>
      <c r="H8" s="43">
        <f>H20</f>
        <v>0.26</v>
      </c>
      <c r="I8" s="43">
        <f>I20</f>
        <v>0.2</v>
      </c>
      <c r="J8" s="43">
        <f>J20</f>
        <v>0.17</v>
      </c>
    </row>
    <row r="9" spans="2:12" ht="14.25" customHeight="1" x14ac:dyDescent="0.25">
      <c r="B9" t="s">
        <v>54</v>
      </c>
      <c r="C9" s="44">
        <v>3.9640000000000002E-2</v>
      </c>
      <c r="D9" s="44">
        <v>3.6790000000000003E-2</v>
      </c>
      <c r="E9" s="44">
        <v>2.9170000000000001E-2</v>
      </c>
      <c r="F9" s="45">
        <f>F25</f>
        <v>2.75E-2</v>
      </c>
      <c r="G9" s="45">
        <f>G25</f>
        <v>2.63E-2</v>
      </c>
      <c r="H9" s="45">
        <f>H25</f>
        <v>2.5499999999999998E-2</v>
      </c>
      <c r="I9" s="45">
        <f>I25</f>
        <v>2.52E-2</v>
      </c>
      <c r="J9" s="45">
        <f>J25</f>
        <v>2.5000000000000001E-2</v>
      </c>
    </row>
    <row r="10" spans="2:12" ht="14.25" customHeight="1" x14ac:dyDescent="0.25">
      <c r="B10" t="s">
        <v>55</v>
      </c>
      <c r="C10" s="44">
        <v>1.9130000000000001E-2</v>
      </c>
      <c r="D10" s="44">
        <v>1.566E-2</v>
      </c>
      <c r="E10" s="44">
        <v>1.1520000000000001E-2</v>
      </c>
      <c r="F10" s="45">
        <f>F30</f>
        <v>1.03E-2</v>
      </c>
      <c r="G10" s="45">
        <f>G30</f>
        <v>9.5000000000000015E-3</v>
      </c>
      <c r="H10" s="45">
        <f>H30</f>
        <v>8.9999999999999976E-3</v>
      </c>
      <c r="I10" s="45">
        <f>I30</f>
        <v>9.0000000000000011E-3</v>
      </c>
      <c r="J10" s="45">
        <f>J30</f>
        <v>9.0000000000000011E-3</v>
      </c>
    </row>
    <row r="11" spans="2:12" ht="14.25" customHeight="1" x14ac:dyDescent="0.25">
      <c r="B11" t="s">
        <v>56</v>
      </c>
      <c r="C11" s="40">
        <v>418925</v>
      </c>
      <c r="D11" s="40">
        <v>650351</v>
      </c>
      <c r="E11" s="40">
        <v>745974</v>
      </c>
      <c r="F11" s="41">
        <f>F13</f>
        <v>984637.5</v>
      </c>
      <c r="G11" s="41">
        <f>G13</f>
        <v>1243006.3800000001</v>
      </c>
      <c r="H11" s="41">
        <f>H13</f>
        <v>1518547.338</v>
      </c>
      <c r="I11" s="41">
        <f>I13</f>
        <v>1800818.4902400004</v>
      </c>
      <c r="J11" s="41">
        <f>J13</f>
        <v>2090235.7476000004</v>
      </c>
    </row>
    <row r="12" spans="2:12" ht="14.25" customHeight="1" x14ac:dyDescent="0.25">
      <c r="B12" t="s">
        <v>57</v>
      </c>
      <c r="C12" s="40">
        <v>202167</v>
      </c>
      <c r="D12" s="40">
        <v>276859</v>
      </c>
      <c r="E12" s="40">
        <v>294673</v>
      </c>
      <c r="F12" s="41">
        <f>F7*1000*F30</f>
        <v>368791.5</v>
      </c>
      <c r="G12" s="41">
        <f>G7*1000*G30</f>
        <v>448994.70000000013</v>
      </c>
      <c r="H12" s="41">
        <f>H7*1000*H30</f>
        <v>535957.88399999996</v>
      </c>
      <c r="I12" s="41">
        <f>I7*1000*I30</f>
        <v>643149.46080000023</v>
      </c>
      <c r="J12" s="41">
        <f>J7*1000*J30</f>
        <v>752484.86913600017</v>
      </c>
    </row>
    <row r="13" spans="2:12" ht="14.25" customHeight="1" x14ac:dyDescent="0.25">
      <c r="B13" t="s">
        <v>58</v>
      </c>
      <c r="C13">
        <f t="shared" ref="C13:J13" si="0">C7*1000*C9</f>
        <v>418875.88</v>
      </c>
      <c r="D13">
        <f t="shared" si="0"/>
        <v>650336.83000000007</v>
      </c>
      <c r="E13">
        <f t="shared" si="0"/>
        <v>746022.75</v>
      </c>
      <c r="F13" s="41">
        <f t="shared" si="0"/>
        <v>984637.5</v>
      </c>
      <c r="G13" s="41">
        <f t="shared" si="0"/>
        <v>1243006.3800000001</v>
      </c>
      <c r="H13" s="41">
        <f t="shared" si="0"/>
        <v>1518547.338</v>
      </c>
      <c r="I13" s="41">
        <f t="shared" si="0"/>
        <v>1800818.4902400004</v>
      </c>
      <c r="J13" s="41">
        <f t="shared" si="0"/>
        <v>2090235.7476000004</v>
      </c>
    </row>
    <row r="15" spans="2:12" ht="15" customHeight="1" x14ac:dyDescent="0.25">
      <c r="B15" s="39" t="s">
        <v>59</v>
      </c>
    </row>
    <row r="16" spans="2:12" ht="14.25" customHeight="1" x14ac:dyDescent="0.25">
      <c r="B16" s="79" t="s">
        <v>60</v>
      </c>
      <c r="F16" s="46" t="str">
        <f>$L$2</f>
        <v>Base</v>
      </c>
      <c r="G16" s="46" t="str">
        <f>$L$2</f>
        <v>Base</v>
      </c>
      <c r="H16" s="46" t="str">
        <f>$L$2</f>
        <v>Base</v>
      </c>
      <c r="I16" s="46" t="str">
        <f>$L$2</f>
        <v>Base</v>
      </c>
      <c r="J16" s="46" t="str">
        <f>$L$2</f>
        <v>Base</v>
      </c>
    </row>
    <row r="17" spans="2:10" ht="14.25" customHeight="1" x14ac:dyDescent="0.25">
      <c r="B17" s="47" t="s">
        <v>61</v>
      </c>
      <c r="F17" s="48">
        <v>0.4</v>
      </c>
      <c r="G17" s="48">
        <v>0.32</v>
      </c>
      <c r="H17" s="48">
        <v>0.26</v>
      </c>
      <c r="I17" s="48">
        <v>0.2</v>
      </c>
      <c r="J17" s="48">
        <v>0.17</v>
      </c>
    </row>
    <row r="18" spans="2:10" ht="14.25" customHeight="1" x14ac:dyDescent="0.25">
      <c r="B18" t="s">
        <v>62</v>
      </c>
      <c r="F18" s="48">
        <v>0.5</v>
      </c>
      <c r="G18" s="48">
        <v>0.42</v>
      </c>
      <c r="H18" s="48">
        <v>0.34</v>
      </c>
      <c r="I18" s="48">
        <v>0.26</v>
      </c>
      <c r="J18" s="48">
        <v>0.22</v>
      </c>
    </row>
    <row r="19" spans="2:10" ht="14.25" customHeight="1" x14ac:dyDescent="0.25">
      <c r="B19" t="s">
        <v>63</v>
      </c>
      <c r="F19" s="48">
        <v>0.33</v>
      </c>
      <c r="G19" s="48">
        <v>0.22</v>
      </c>
      <c r="H19" s="48">
        <v>0.17</v>
      </c>
      <c r="I19" s="48">
        <v>0.13</v>
      </c>
      <c r="J19" s="48">
        <v>0.1</v>
      </c>
    </row>
    <row r="20" spans="2:10" ht="15" customHeight="1" x14ac:dyDescent="0.25">
      <c r="B20" s="76" t="s">
        <v>64</v>
      </c>
      <c r="C20" s="73"/>
      <c r="D20" s="73"/>
      <c r="E20" s="73"/>
      <c r="F20" s="77">
        <f>IF($L$2="Bull",F18,IF($L$2="Bear",F19,F17))</f>
        <v>0.4</v>
      </c>
      <c r="G20" s="77">
        <f>IF($L$2="Bull",G18,IF($L$2="Bear",G19,G17))</f>
        <v>0.32</v>
      </c>
      <c r="H20" s="77">
        <f>IF($L$2="Bull",H18,IF($L$2="Bear",H19,H17))</f>
        <v>0.26</v>
      </c>
      <c r="I20" s="77">
        <f>IF($L$2="Bull",I18,IF($L$2="Bear",I19,I17))</f>
        <v>0.2</v>
      </c>
      <c r="J20" s="77">
        <f>IF($L$2="Bull",J18,IF($L$2="Bear",J19,J17))</f>
        <v>0.17</v>
      </c>
    </row>
    <row r="21" spans="2:10" ht="14.25" customHeight="1" x14ac:dyDescent="0.25">
      <c r="B21" s="39" t="s">
        <v>65</v>
      </c>
    </row>
    <row r="22" spans="2:10" ht="14.25" customHeight="1" x14ac:dyDescent="0.25">
      <c r="B22" s="47" t="s">
        <v>66</v>
      </c>
      <c r="C22" s="49">
        <v>3.9600000000000003E-2</v>
      </c>
      <c r="D22" s="49">
        <v>3.6799999999999999E-2</v>
      </c>
      <c r="E22" s="49">
        <v>2.92E-2</v>
      </c>
      <c r="F22" s="49">
        <v>2.75E-2</v>
      </c>
      <c r="G22" s="49">
        <v>2.63E-2</v>
      </c>
      <c r="H22" s="49">
        <v>2.5499999999999998E-2</v>
      </c>
      <c r="I22" s="49">
        <v>2.52E-2</v>
      </c>
      <c r="J22" s="49">
        <v>2.5000000000000001E-2</v>
      </c>
    </row>
    <row r="23" spans="2:10" ht="14.25" customHeight="1" x14ac:dyDescent="0.25">
      <c r="B23" s="47" t="s">
        <v>67</v>
      </c>
      <c r="C23" s="44">
        <v>3.9600000000000003E-2</v>
      </c>
      <c r="D23" s="44">
        <v>3.6799999999999999E-2</v>
      </c>
      <c r="E23" s="44">
        <v>2.92E-2</v>
      </c>
      <c r="F23" s="49">
        <v>2.8000000000000001E-2</v>
      </c>
      <c r="G23" s="49">
        <v>2.7199999999999998E-2</v>
      </c>
      <c r="H23" s="49">
        <v>2.6700000000000002E-2</v>
      </c>
      <c r="I23" s="49">
        <v>2.6499999999999999E-2</v>
      </c>
      <c r="J23" s="49">
        <v>2.63E-2</v>
      </c>
    </row>
    <row r="24" spans="2:10" ht="14.25" customHeight="1" x14ac:dyDescent="0.25">
      <c r="B24" s="47" t="s">
        <v>68</v>
      </c>
      <c r="C24" s="45">
        <v>3.9600000000000003E-2</v>
      </c>
      <c r="D24" s="45">
        <v>3.6799999999999999E-2</v>
      </c>
      <c r="E24" s="45">
        <v>2.92E-2</v>
      </c>
      <c r="F24" s="49">
        <v>2.6499999999999999E-2</v>
      </c>
      <c r="G24" s="49">
        <v>2.5000000000000001E-2</v>
      </c>
      <c r="H24" s="49">
        <v>2.4E-2</v>
      </c>
      <c r="I24" s="49">
        <v>2.35E-2</v>
      </c>
      <c r="J24" s="49">
        <v>2.3199999999999998E-2</v>
      </c>
    </row>
    <row r="25" spans="2:10" ht="14.25" customHeight="1" x14ac:dyDescent="0.25">
      <c r="B25" s="76" t="s">
        <v>69</v>
      </c>
      <c r="C25" s="74">
        <v>3.9600000000000003E-2</v>
      </c>
      <c r="D25" s="74">
        <v>3.6799999999999999E-2</v>
      </c>
      <c r="E25" s="74">
        <v>2.92E-2</v>
      </c>
      <c r="F25" s="78">
        <f>IF($L$2="Bull",F23,IF($L$2="Bear",F24,F22))</f>
        <v>2.75E-2</v>
      </c>
      <c r="G25" s="78">
        <f>IF($L$2="Bull",G23,IF($L$2="Bear",G24,G22))</f>
        <v>2.63E-2</v>
      </c>
      <c r="H25" s="78">
        <f>IF($L$2="Bull",H23,IF($L$2="Bear",H24,H22))</f>
        <v>2.5499999999999998E-2</v>
      </c>
      <c r="I25" s="78">
        <f>IF($L$2="Bull",I23,IF($L$2="Bear",I24,I22))</f>
        <v>2.52E-2</v>
      </c>
      <c r="J25" s="78">
        <f>IF($L$2="Bull",J23,IF($L$2="Bear",J24,J22))</f>
        <v>2.5000000000000001E-2</v>
      </c>
    </row>
    <row r="26" spans="2:10" ht="14.25" customHeight="1" x14ac:dyDescent="0.25">
      <c r="B26" s="47" t="s">
        <v>70</v>
      </c>
      <c r="C26" s="44">
        <v>2.0500000000000001E-2</v>
      </c>
      <c r="D26" s="44">
        <v>2.1100000000000001E-2</v>
      </c>
      <c r="E26" s="44">
        <v>1.7600000000000001E-2</v>
      </c>
      <c r="F26" s="49">
        <v>1.72E-2</v>
      </c>
      <c r="G26" s="49">
        <v>1.6799999999999999E-2</v>
      </c>
      <c r="H26" s="49">
        <v>1.6500000000000001E-2</v>
      </c>
      <c r="I26" s="49">
        <v>1.6199999999999999E-2</v>
      </c>
      <c r="J26" s="49">
        <v>1.6E-2</v>
      </c>
    </row>
    <row r="27" spans="2:10" ht="14.25" customHeight="1" x14ac:dyDescent="0.25">
      <c r="B27" s="47" t="s">
        <v>71</v>
      </c>
      <c r="C27" s="44">
        <v>2.0500000000000001E-2</v>
      </c>
      <c r="D27" s="44">
        <v>2.1100000000000001E-2</v>
      </c>
      <c r="E27" s="44">
        <v>1.7600000000000001E-2</v>
      </c>
      <c r="F27" s="49">
        <v>1.7000000000000001E-2</v>
      </c>
      <c r="G27" s="49">
        <v>1.67E-2</v>
      </c>
      <c r="H27" s="49">
        <v>1.6500000000000001E-2</v>
      </c>
      <c r="I27" s="49">
        <v>1.6299999999999999E-2</v>
      </c>
      <c r="J27" s="49">
        <v>1.6E-2</v>
      </c>
    </row>
    <row r="28" spans="2:10" ht="14.25" customHeight="1" x14ac:dyDescent="0.25">
      <c r="B28" s="47" t="s">
        <v>72</v>
      </c>
      <c r="C28" s="44">
        <v>2.0500000000000001E-2</v>
      </c>
      <c r="D28" s="44">
        <v>2.1100000000000001E-2</v>
      </c>
      <c r="E28" s="44">
        <v>1.7600000000000001E-2</v>
      </c>
      <c r="F28" s="49">
        <v>1.7399999999999999E-2</v>
      </c>
      <c r="G28" s="49">
        <v>1.7000000000000001E-2</v>
      </c>
      <c r="H28" s="49">
        <v>1.6299999999999999E-2</v>
      </c>
      <c r="I28" s="49">
        <v>1.6E-2</v>
      </c>
      <c r="J28" s="49">
        <v>1.5800000000000002E-2</v>
      </c>
    </row>
    <row r="29" spans="2:10" ht="14.25" customHeight="1" x14ac:dyDescent="0.25">
      <c r="B29" s="76" t="s">
        <v>73</v>
      </c>
      <c r="C29" s="74">
        <v>2.0500000000000001E-2</v>
      </c>
      <c r="D29" s="74">
        <v>2.1100000000000001E-2</v>
      </c>
      <c r="E29" s="74">
        <v>1.7600000000000001E-2</v>
      </c>
      <c r="F29" s="78">
        <f>IF($L$2="Bull",F27,IF($L$2="Bear",F28,F26))</f>
        <v>1.72E-2</v>
      </c>
      <c r="G29" s="78">
        <f>IF($L$2="Bull",G27,IF($L$2="Bear",G28,G26))</f>
        <v>1.6799999999999999E-2</v>
      </c>
      <c r="H29" s="78">
        <f>IF($L$2="Bull",H27,IF($L$2="Bear",H28,H26))</f>
        <v>1.6500000000000001E-2</v>
      </c>
      <c r="I29" s="78">
        <f>IF($L$2="Bull",I27,IF($L$2="Bear",I28,I26))</f>
        <v>1.6199999999999999E-2</v>
      </c>
      <c r="J29" s="78">
        <f>IF($L$2="Bull",J27,IF($L$2="Bear",J28,J26))</f>
        <v>1.6E-2</v>
      </c>
    </row>
    <row r="30" spans="2:10" ht="14.25" customHeight="1" x14ac:dyDescent="0.25">
      <c r="B30" s="76" t="s">
        <v>74</v>
      </c>
      <c r="C30" s="75">
        <f t="shared" ref="C30:J30" si="1">C25-C29</f>
        <v>1.9100000000000002E-2</v>
      </c>
      <c r="D30" s="75">
        <f t="shared" si="1"/>
        <v>1.5699999999999999E-2</v>
      </c>
      <c r="E30" s="75">
        <f t="shared" si="1"/>
        <v>1.1599999999999999E-2</v>
      </c>
      <c r="F30" s="78">
        <f t="shared" si="1"/>
        <v>1.03E-2</v>
      </c>
      <c r="G30" s="78">
        <f t="shared" si="1"/>
        <v>9.5000000000000015E-3</v>
      </c>
      <c r="H30" s="78">
        <f t="shared" si="1"/>
        <v>8.9999999999999976E-3</v>
      </c>
      <c r="I30" s="78">
        <f t="shared" si="1"/>
        <v>9.0000000000000011E-3</v>
      </c>
      <c r="J30" s="78">
        <f t="shared" si="1"/>
        <v>9.0000000000000011E-3</v>
      </c>
    </row>
    <row r="31" spans="2:10" ht="15" customHeight="1" x14ac:dyDescent="0.25">
      <c r="B31" t="s">
        <v>75</v>
      </c>
      <c r="C31" s="45">
        <f t="shared" ref="C31:J33" si="2">C22-C26</f>
        <v>1.9100000000000002E-2</v>
      </c>
      <c r="D31" s="45">
        <f t="shared" si="2"/>
        <v>1.5699999999999999E-2</v>
      </c>
      <c r="E31" s="45">
        <f t="shared" si="2"/>
        <v>1.1599999999999999E-2</v>
      </c>
      <c r="F31" s="45">
        <f t="shared" si="2"/>
        <v>1.03E-2</v>
      </c>
      <c r="G31" s="45">
        <f t="shared" si="2"/>
        <v>9.5000000000000015E-3</v>
      </c>
      <c r="H31" s="45">
        <f t="shared" si="2"/>
        <v>8.9999999999999976E-3</v>
      </c>
      <c r="I31" s="45">
        <f t="shared" si="2"/>
        <v>9.0000000000000011E-3</v>
      </c>
      <c r="J31" s="45">
        <f t="shared" si="2"/>
        <v>9.0000000000000011E-3</v>
      </c>
    </row>
    <row r="32" spans="2:10" ht="14.25" customHeight="1" x14ac:dyDescent="0.25">
      <c r="B32" t="s">
        <v>76</v>
      </c>
      <c r="C32" s="45">
        <f t="shared" si="2"/>
        <v>1.9100000000000002E-2</v>
      </c>
      <c r="D32" s="45">
        <f t="shared" si="2"/>
        <v>1.5699999999999999E-2</v>
      </c>
      <c r="E32" s="45">
        <f t="shared" si="2"/>
        <v>1.1599999999999999E-2</v>
      </c>
      <c r="F32" s="45">
        <f t="shared" si="2"/>
        <v>1.0999999999999999E-2</v>
      </c>
      <c r="G32" s="45">
        <f t="shared" si="2"/>
        <v>1.0499999999999999E-2</v>
      </c>
      <c r="H32" s="45">
        <f t="shared" si="2"/>
        <v>1.0200000000000001E-2</v>
      </c>
      <c r="I32" s="45">
        <f t="shared" si="2"/>
        <v>1.0200000000000001E-2</v>
      </c>
      <c r="J32" s="45">
        <f t="shared" si="2"/>
        <v>1.03E-2</v>
      </c>
    </row>
    <row r="33" spans="2:10" ht="14.25" customHeight="1" x14ac:dyDescent="0.25">
      <c r="B33" t="s">
        <v>77</v>
      </c>
      <c r="C33" s="45">
        <f t="shared" si="2"/>
        <v>1.9100000000000002E-2</v>
      </c>
      <c r="D33" s="45">
        <f t="shared" si="2"/>
        <v>1.5699999999999999E-2</v>
      </c>
      <c r="E33" s="45">
        <f t="shared" si="2"/>
        <v>1.1599999999999999E-2</v>
      </c>
      <c r="F33" s="45">
        <f t="shared" si="2"/>
        <v>9.1000000000000004E-3</v>
      </c>
      <c r="G33" s="45">
        <f t="shared" si="2"/>
        <v>8.0000000000000002E-3</v>
      </c>
      <c r="H33" s="45">
        <f t="shared" si="2"/>
        <v>7.700000000000002E-3</v>
      </c>
      <c r="I33" s="45">
        <f t="shared" si="2"/>
        <v>7.4999999999999997E-3</v>
      </c>
      <c r="J33" s="45">
        <f t="shared" si="2"/>
        <v>7.3999999999999969E-3</v>
      </c>
    </row>
    <row r="34" spans="2:10" ht="14.25" customHeight="1" x14ac:dyDescent="0.25">
      <c r="B34" s="39" t="s">
        <v>78</v>
      </c>
    </row>
    <row r="35" spans="2:10" ht="14.25" customHeight="1" x14ac:dyDescent="0.25">
      <c r="B35" t="s">
        <v>79</v>
      </c>
      <c r="C35" s="50"/>
      <c r="D35" s="42">
        <v>0.99299999999999999</v>
      </c>
      <c r="E35" s="42">
        <v>1.026</v>
      </c>
      <c r="F35" s="42">
        <v>0.35</v>
      </c>
      <c r="G35" s="42">
        <v>0.25</v>
      </c>
      <c r="H35" s="42">
        <v>0.2</v>
      </c>
      <c r="I35" s="42">
        <v>0.18</v>
      </c>
      <c r="J35" s="42">
        <v>0.15</v>
      </c>
    </row>
    <row r="36" spans="2:10" ht="14.25" customHeight="1" x14ac:dyDescent="0.25">
      <c r="B36" t="s">
        <v>80</v>
      </c>
      <c r="C36" s="50"/>
      <c r="D36" s="42">
        <v>0.28399999999999997</v>
      </c>
      <c r="E36" s="42">
        <v>0.26300000000000001</v>
      </c>
      <c r="F36" s="51">
        <v>0.22</v>
      </c>
      <c r="G36" s="51">
        <v>0.18</v>
      </c>
      <c r="H36" s="51">
        <v>0.15</v>
      </c>
      <c r="I36" s="51">
        <v>0.12</v>
      </c>
      <c r="J36" s="51">
        <v>0.1</v>
      </c>
    </row>
    <row r="37" spans="2:10" ht="14.25" customHeight="1" x14ac:dyDescent="0.25">
      <c r="B37" t="s">
        <v>81</v>
      </c>
      <c r="C37" s="50"/>
      <c r="D37" s="42">
        <v>0.45900000000000002</v>
      </c>
      <c r="E37" s="42">
        <v>0.435</v>
      </c>
      <c r="F37" s="51">
        <v>0.22</v>
      </c>
      <c r="G37" s="51">
        <v>0.18</v>
      </c>
      <c r="H37" s="51">
        <v>0.15</v>
      </c>
      <c r="I37" s="51">
        <v>0.12</v>
      </c>
      <c r="J37" s="51">
        <v>0.1</v>
      </c>
    </row>
    <row r="38" spans="2:10" ht="15" customHeight="1" x14ac:dyDescent="0.25">
      <c r="B38" t="s">
        <v>82</v>
      </c>
      <c r="C38" s="40">
        <v>-5534</v>
      </c>
      <c r="D38" s="40">
        <v>3136</v>
      </c>
      <c r="E38" s="52">
        <v>-440</v>
      </c>
      <c r="F38" s="52">
        <v>-500</v>
      </c>
      <c r="G38" s="52">
        <v>-500</v>
      </c>
      <c r="H38" s="52">
        <v>-500</v>
      </c>
      <c r="I38" s="52">
        <v>-500</v>
      </c>
      <c r="J38" s="52">
        <v>-500</v>
      </c>
    </row>
    <row r="39" spans="2:10" ht="14.25" customHeight="1" x14ac:dyDescent="0.25">
      <c r="B39" t="s">
        <v>83</v>
      </c>
      <c r="C39" s="52">
        <v>-697</v>
      </c>
      <c r="D39" s="40">
        <v>0</v>
      </c>
      <c r="E39" s="40">
        <v>-5257</v>
      </c>
      <c r="F39" s="40">
        <v>-1000</v>
      </c>
      <c r="G39" s="40">
        <v>-1000</v>
      </c>
      <c r="H39" s="40">
        <v>-1000</v>
      </c>
      <c r="I39" s="40">
        <v>-1000</v>
      </c>
      <c r="J39" s="40">
        <v>-1000</v>
      </c>
    </row>
    <row r="40" spans="2:10" ht="14.25" customHeight="1" x14ac:dyDescent="0.25"/>
    <row r="41" spans="2:10" ht="14.25" customHeight="1" x14ac:dyDescent="0.25">
      <c r="B41" s="39" t="s">
        <v>84</v>
      </c>
    </row>
    <row r="42" spans="2:10" ht="14.25" customHeight="1" x14ac:dyDescent="0.25">
      <c r="B42" t="s">
        <v>85</v>
      </c>
      <c r="C42" s="40">
        <v>18078</v>
      </c>
      <c r="D42" s="40">
        <v>128228</v>
      </c>
      <c r="E42" s="40">
        <v>66875</v>
      </c>
      <c r="F42" s="40">
        <v>35000</v>
      </c>
      <c r="G42" s="40">
        <v>20000</v>
      </c>
      <c r="H42" s="40">
        <v>15000</v>
      </c>
      <c r="I42" s="40">
        <v>12000</v>
      </c>
      <c r="J42" s="40">
        <v>10000</v>
      </c>
    </row>
    <row r="43" spans="2:10" ht="14.25" customHeight="1" x14ac:dyDescent="0.25">
      <c r="B43" t="s">
        <v>86</v>
      </c>
      <c r="C43" s="40">
        <v>-24668</v>
      </c>
      <c r="D43" s="40">
        <v>-116834</v>
      </c>
      <c r="E43" s="40">
        <v>-49701</v>
      </c>
      <c r="F43" s="40">
        <v>-25000</v>
      </c>
      <c r="G43" s="40">
        <v>-20000</v>
      </c>
      <c r="H43" s="40">
        <v>-15000</v>
      </c>
      <c r="I43" s="40">
        <v>-12000</v>
      </c>
      <c r="J43" s="40">
        <v>-10000</v>
      </c>
    </row>
    <row r="44" spans="2:10" ht="15" customHeight="1" x14ac:dyDescent="0.25">
      <c r="B44" t="s">
        <v>87</v>
      </c>
      <c r="C44" s="40">
        <v>-1037</v>
      </c>
      <c r="D44" s="40">
        <v>-12537</v>
      </c>
      <c r="E44" s="40">
        <v>-6655</v>
      </c>
      <c r="F44" s="40">
        <v>-4000</v>
      </c>
      <c r="G44" s="40">
        <v>-2000</v>
      </c>
      <c r="H44" s="40">
        <v>-1000</v>
      </c>
      <c r="I44" s="52">
        <v>-500</v>
      </c>
      <c r="J44" s="52">
        <v>-500</v>
      </c>
    </row>
    <row r="45" spans="2:10" ht="14.25" customHeight="1" x14ac:dyDescent="0.25">
      <c r="B45" t="s">
        <v>88</v>
      </c>
      <c r="C45" s="44">
        <v>0.107</v>
      </c>
      <c r="D45" s="44">
        <v>0.16700000000000001</v>
      </c>
      <c r="E45" s="44">
        <v>0.20200000000000001</v>
      </c>
      <c r="F45" s="51">
        <v>0.21</v>
      </c>
      <c r="G45" s="51">
        <v>0.22</v>
      </c>
      <c r="H45" s="51">
        <v>0.22</v>
      </c>
      <c r="I45" s="51">
        <v>0.23</v>
      </c>
      <c r="J45" s="51">
        <v>0.23</v>
      </c>
    </row>
    <row r="46" spans="2:10" ht="14.25" customHeight="1" x14ac:dyDescent="0.25"/>
    <row r="47" spans="2:10" ht="14.25" customHeight="1" x14ac:dyDescent="0.25">
      <c r="B47" s="39" t="s">
        <v>89</v>
      </c>
    </row>
    <row r="48" spans="2:10" ht="14.25" customHeight="1" x14ac:dyDescent="0.25">
      <c r="B48" t="s">
        <v>90</v>
      </c>
      <c r="C48" s="40">
        <f>'Balance Sheet'!C8/'Income Statement'!C6*365</f>
        <v>209.4952318434087</v>
      </c>
      <c r="D48" s="40">
        <f>'Balance Sheet'!D8/'Income Statement'!D6*365</f>
        <v>203.9383502139614</v>
      </c>
      <c r="E48" s="40">
        <f>'Balance Sheet'!E8/'Income Statement'!E6*365</f>
        <v>243.03828953824129</v>
      </c>
      <c r="F48" s="40">
        <v>210</v>
      </c>
      <c r="G48" s="40">
        <v>195</v>
      </c>
      <c r="H48" s="40">
        <v>185</v>
      </c>
      <c r="I48" s="40">
        <v>180</v>
      </c>
      <c r="J48" s="40">
        <v>180</v>
      </c>
    </row>
    <row r="49" spans="2:10" ht="14.25" customHeight="1" x14ac:dyDescent="0.25">
      <c r="B49" t="s">
        <v>91</v>
      </c>
      <c r="C49" s="42">
        <v>0.97399999999999998</v>
      </c>
      <c r="D49" s="42">
        <v>0.92600000000000005</v>
      </c>
      <c r="E49" s="42">
        <v>0.80200000000000005</v>
      </c>
      <c r="F49" s="42">
        <v>0.72</v>
      </c>
      <c r="G49" s="42">
        <v>0.65</v>
      </c>
      <c r="H49" s="42">
        <v>0.6</v>
      </c>
      <c r="I49" s="42">
        <v>0.56999999999999995</v>
      </c>
      <c r="J49" s="42">
        <v>0.55000000000000004</v>
      </c>
    </row>
    <row r="50" spans="2:10" ht="14.25" customHeight="1" x14ac:dyDescent="0.25">
      <c r="B50" t="s">
        <v>92</v>
      </c>
      <c r="C50" s="40">
        <v>1295</v>
      </c>
      <c r="D50" s="40">
        <v>102677</v>
      </c>
      <c r="E50" s="40">
        <v>129319</v>
      </c>
      <c r="F50" s="40">
        <v>50000</v>
      </c>
      <c r="G50" s="40">
        <v>20000</v>
      </c>
      <c r="H50" s="40">
        <v>10000</v>
      </c>
      <c r="I50" s="40">
        <v>5000</v>
      </c>
      <c r="J50" s="40">
        <v>5000</v>
      </c>
    </row>
    <row r="51" spans="2:10" ht="14.25" customHeight="1" x14ac:dyDescent="0.25">
      <c r="B51" t="s">
        <v>93</v>
      </c>
      <c r="C51" s="52">
        <v>0</v>
      </c>
      <c r="D51" s="40">
        <v>-99936</v>
      </c>
      <c r="E51" s="40">
        <v>-200980</v>
      </c>
      <c r="F51" s="40">
        <v>-50000</v>
      </c>
      <c r="G51" s="40">
        <v>-40000</v>
      </c>
      <c r="H51" s="40">
        <v>-30000</v>
      </c>
      <c r="I51" s="40">
        <v>-25000</v>
      </c>
      <c r="J51" s="40">
        <v>-25000</v>
      </c>
    </row>
    <row r="52" spans="2:10" ht="14.25" customHeight="1" x14ac:dyDescent="0.25">
      <c r="B52" t="s">
        <v>94</v>
      </c>
      <c r="C52" s="40">
        <v>57995</v>
      </c>
      <c r="D52" s="40">
        <v>13822</v>
      </c>
      <c r="E52" s="40">
        <v>21679</v>
      </c>
      <c r="F52" s="41">
        <f>E52*1.1</f>
        <v>23846.9</v>
      </c>
      <c r="G52" s="41">
        <f>F52*1.1</f>
        <v>26231.590000000004</v>
      </c>
      <c r="H52" s="41">
        <f>G52*1.1</f>
        <v>28854.749000000007</v>
      </c>
      <c r="I52" s="41">
        <f>H52*1.1</f>
        <v>31740.223900000012</v>
      </c>
      <c r="J52" s="41">
        <f>I52*1.1</f>
        <v>34914.246290000017</v>
      </c>
    </row>
    <row r="53" spans="2:10" ht="14.25" customHeight="1" x14ac:dyDescent="0.25">
      <c r="B53" t="s">
        <v>95</v>
      </c>
      <c r="C53" s="40">
        <v>54539</v>
      </c>
      <c r="D53" s="40">
        <v>64731</v>
      </c>
      <c r="E53" s="40">
        <v>94801</v>
      </c>
      <c r="F53" s="41">
        <f>E53*1.08</f>
        <v>102385.08</v>
      </c>
      <c r="G53" s="41">
        <f>F53*1.08</f>
        <v>110575.8864</v>
      </c>
      <c r="H53" s="41">
        <f>G53*1.08</f>
        <v>119421.95731200001</v>
      </c>
      <c r="I53" s="41">
        <f>H53*1.08</f>
        <v>128975.71389696002</v>
      </c>
      <c r="J53" s="41">
        <f>I53*1.08</f>
        <v>139293.77100871684</v>
      </c>
    </row>
  </sheetData>
  <dataValidations count="1">
    <dataValidation type="list" sqref="L2" xr:uid="{00000000-0002-0000-0100-000000000000}">
      <formula1>"Base,Bull,Bear"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B1:L31"/>
  <sheetViews>
    <sheetView showGridLines="0" zoomScaleNormal="100" workbookViewId="0">
      <selection activeCell="M21" sqref="M21"/>
    </sheetView>
  </sheetViews>
  <sheetFormatPr defaultColWidth="8.5703125" defaultRowHeight="15" x14ac:dyDescent="0.25"/>
  <cols>
    <col min="2" max="2" width="40.140625" customWidth="1"/>
    <col min="6" max="8" width="9.85546875" bestFit="1" customWidth="1"/>
    <col min="9" max="9" width="10.28515625" customWidth="1"/>
    <col min="10" max="10" width="9.7109375" customWidth="1"/>
  </cols>
  <sheetData>
    <row r="1" spans="2:12" ht="21" customHeight="1" x14ac:dyDescent="0.35">
      <c r="B1" s="32" t="s">
        <v>96</v>
      </c>
    </row>
    <row r="2" spans="2:12" ht="14.25" customHeight="1" x14ac:dyDescent="0.25">
      <c r="B2" s="34" t="s">
        <v>97</v>
      </c>
    </row>
    <row r="3" spans="2:12" ht="14.25" customHeight="1" x14ac:dyDescent="0.25">
      <c r="B3" s="36" t="s">
        <v>98</v>
      </c>
    </row>
    <row r="4" spans="2:12" ht="14.25" customHeight="1" x14ac:dyDescent="0.25">
      <c r="B4" s="53"/>
    </row>
    <row r="5" spans="2:12" ht="14.25" customHeight="1" x14ac:dyDescent="0.25">
      <c r="C5" s="38" t="s">
        <v>15</v>
      </c>
      <c r="D5" s="38" t="s">
        <v>16</v>
      </c>
      <c r="E5" s="38" t="s">
        <v>17</v>
      </c>
      <c r="F5" s="38" t="s">
        <v>18</v>
      </c>
      <c r="G5" s="38" t="s">
        <v>19</v>
      </c>
      <c r="H5" s="38" t="s">
        <v>48</v>
      </c>
      <c r="I5" s="38" t="s">
        <v>49</v>
      </c>
      <c r="J5" s="38" t="s">
        <v>50</v>
      </c>
    </row>
    <row r="6" spans="2:12" ht="14.25" customHeight="1" x14ac:dyDescent="0.25">
      <c r="B6" t="s">
        <v>20</v>
      </c>
      <c r="C6" s="40">
        <v>418925</v>
      </c>
      <c r="D6" s="40">
        <v>650351</v>
      </c>
      <c r="E6" s="40">
        <v>745974</v>
      </c>
      <c r="F6" s="41">
        <f>Assumptions!F11</f>
        <v>984637.5</v>
      </c>
      <c r="G6" s="41">
        <f>Assumptions!G11</f>
        <v>1243006.3800000001</v>
      </c>
      <c r="H6" s="41">
        <f>Assumptions!H11</f>
        <v>1518547.338</v>
      </c>
      <c r="I6" s="41">
        <f>Assumptions!I11</f>
        <v>1800818.4902400004</v>
      </c>
      <c r="J6" s="41">
        <f>Assumptions!J11</f>
        <v>2090235.7476000004</v>
      </c>
    </row>
    <row r="7" spans="2:12" ht="14.25" customHeight="1" x14ac:dyDescent="0.25">
      <c r="B7" t="s">
        <v>99</v>
      </c>
      <c r="C7" s="40">
        <v>-216758</v>
      </c>
      <c r="D7" s="40">
        <v>-373492</v>
      </c>
      <c r="E7" s="40">
        <v>-451301</v>
      </c>
      <c r="F7" s="41">
        <f>Assumptions!F12-Assumptions!F11</f>
        <v>-615846</v>
      </c>
      <c r="G7" s="41">
        <f>Assumptions!G12-Assumptions!G11</f>
        <v>-794011.67999999993</v>
      </c>
      <c r="H7" s="41">
        <f>Assumptions!H12-Assumptions!H11</f>
        <v>-982589.45400000003</v>
      </c>
      <c r="I7" s="41">
        <f>Assumptions!I12-Assumptions!I11</f>
        <v>-1157669.0294400002</v>
      </c>
      <c r="J7" s="41">
        <f>Assumptions!J12-Assumptions!J11</f>
        <v>-1337750.8784640003</v>
      </c>
    </row>
    <row r="8" spans="2:12" ht="14.25" customHeight="1" x14ac:dyDescent="0.25">
      <c r="B8" s="54" t="s">
        <v>21</v>
      </c>
      <c r="C8" s="55">
        <f t="shared" ref="C8:J8" si="0">C6+C7</f>
        <v>202167</v>
      </c>
      <c r="D8" s="55">
        <f t="shared" si="0"/>
        <v>276859</v>
      </c>
      <c r="E8" s="55">
        <f t="shared" si="0"/>
        <v>294673</v>
      </c>
      <c r="F8" s="55">
        <f t="shared" si="0"/>
        <v>368791.5</v>
      </c>
      <c r="G8" s="55">
        <f t="shared" si="0"/>
        <v>448994.70000000019</v>
      </c>
      <c r="H8" s="55">
        <f t="shared" si="0"/>
        <v>535957.88399999996</v>
      </c>
      <c r="I8" s="55">
        <f t="shared" si="0"/>
        <v>643149.46080000023</v>
      </c>
      <c r="J8" s="55">
        <f t="shared" si="0"/>
        <v>752484.86913600005</v>
      </c>
    </row>
    <row r="9" spans="2:12" ht="14.25" customHeight="1" x14ac:dyDescent="0.25">
      <c r="B9" t="s">
        <v>22</v>
      </c>
      <c r="C9" s="43">
        <f t="shared" ref="C9:J9" si="1">C8/C6</f>
        <v>0.48258518827952496</v>
      </c>
      <c r="D9" s="43">
        <f t="shared" si="1"/>
        <v>0.42570704127463477</v>
      </c>
      <c r="E9" s="43">
        <f t="shared" si="1"/>
        <v>0.39501778882373917</v>
      </c>
      <c r="F9" s="43">
        <f t="shared" si="1"/>
        <v>0.37454545454545457</v>
      </c>
      <c r="G9" s="43">
        <f t="shared" si="1"/>
        <v>0.3612167300380229</v>
      </c>
      <c r="H9" s="43">
        <f t="shared" si="1"/>
        <v>0.3529411764705882</v>
      </c>
      <c r="I9" s="43">
        <f t="shared" si="1"/>
        <v>0.35714285714285721</v>
      </c>
      <c r="J9" s="43">
        <f t="shared" si="1"/>
        <v>0.36</v>
      </c>
    </row>
    <row r="11" spans="2:12" ht="14.25" customHeight="1" x14ac:dyDescent="0.25">
      <c r="B11" t="s">
        <v>100</v>
      </c>
      <c r="C11" s="40">
        <v>-6348</v>
      </c>
      <c r="D11" s="40">
        <v>-12650</v>
      </c>
      <c r="E11" s="40">
        <v>-25625</v>
      </c>
      <c r="F11" s="41">
        <f>E11*(1+Assumptions!F35)</f>
        <v>-34593.75</v>
      </c>
      <c r="G11" s="41">
        <f>F11*(1+Assumptions!G35)</f>
        <v>-43242.1875</v>
      </c>
      <c r="H11" s="41">
        <f>G11*(1+Assumptions!H35)</f>
        <v>-51890.625</v>
      </c>
      <c r="I11" s="41">
        <f>H11*(1+Assumptions!I35)</f>
        <v>-61230.9375</v>
      </c>
      <c r="J11" s="41">
        <f>I11*(1+Assumptions!J35)</f>
        <v>-70415.578125</v>
      </c>
    </row>
    <row r="12" spans="2:12" ht="14.25" customHeight="1" x14ac:dyDescent="0.25">
      <c r="B12" t="s">
        <v>101</v>
      </c>
      <c r="C12" s="40">
        <v>-13335</v>
      </c>
      <c r="D12" s="40">
        <v>-17120</v>
      </c>
      <c r="E12" s="40">
        <v>-21626</v>
      </c>
      <c r="F12" s="41">
        <f>E12*(1+Assumptions!F36)</f>
        <v>-26383.72</v>
      </c>
      <c r="G12" s="41">
        <f>F12*(1+Assumptions!G36)</f>
        <v>-31132.7896</v>
      </c>
      <c r="H12" s="41">
        <f>G12*(1+Assumptions!H36)</f>
        <v>-35802.708039999998</v>
      </c>
      <c r="I12" s="41">
        <f>H12*(1+Assumptions!I36)</f>
        <v>-40099.033004800003</v>
      </c>
      <c r="J12" s="41">
        <f>I12*(1+Assumptions!J36)</f>
        <v>-44108.936305280004</v>
      </c>
    </row>
    <row r="13" spans="2:12" ht="14.25" customHeight="1" x14ac:dyDescent="0.25">
      <c r="B13" t="s">
        <v>102</v>
      </c>
      <c r="C13" s="40">
        <v>-48343</v>
      </c>
      <c r="D13" s="40">
        <v>-70568</v>
      </c>
      <c r="E13" s="40">
        <v>-101225</v>
      </c>
      <c r="F13" s="41">
        <f>E13*(1+Assumptions!F37)</f>
        <v>-123494.5</v>
      </c>
      <c r="G13" s="41">
        <f>F13*(1+Assumptions!G37)</f>
        <v>-145723.50999999998</v>
      </c>
      <c r="H13" s="41">
        <f>G13*(1+Assumptions!H37)</f>
        <v>-167582.03649999996</v>
      </c>
      <c r="I13" s="41">
        <f>H13*(1+Assumptions!I37)</f>
        <v>-187691.88087999998</v>
      </c>
      <c r="J13" s="41">
        <f>I13*(1+Assumptions!J37)</f>
        <v>-206461.06896800001</v>
      </c>
    </row>
    <row r="14" spans="2:12" ht="14.25" customHeight="1" x14ac:dyDescent="0.25">
      <c r="B14" t="s">
        <v>103</v>
      </c>
      <c r="C14" s="40">
        <v>-5534</v>
      </c>
      <c r="D14" s="40">
        <v>3136</v>
      </c>
      <c r="E14" s="52">
        <v>-440</v>
      </c>
      <c r="F14" s="41">
        <f>Assumptions!F38</f>
        <v>-500</v>
      </c>
      <c r="G14" s="41">
        <f>Assumptions!G38</f>
        <v>-500</v>
      </c>
      <c r="H14" s="41">
        <f>Assumptions!H38</f>
        <v>-500</v>
      </c>
      <c r="I14" s="41">
        <f>Assumptions!I38</f>
        <v>-500</v>
      </c>
      <c r="J14" s="41">
        <f>Assumptions!J38</f>
        <v>-500</v>
      </c>
    </row>
    <row r="15" spans="2:12" ht="14.25" customHeight="1" x14ac:dyDescent="0.25">
      <c r="B15" t="s">
        <v>104</v>
      </c>
      <c r="C15" s="52">
        <v>-697</v>
      </c>
      <c r="D15" s="52">
        <v>0</v>
      </c>
      <c r="E15" s="40">
        <v>-5257</v>
      </c>
      <c r="F15" s="41">
        <f>Assumptions!F39</f>
        <v>-1000</v>
      </c>
      <c r="G15" s="41">
        <f>Assumptions!G39</f>
        <v>-1000</v>
      </c>
      <c r="H15" s="41">
        <f>Assumptions!H39</f>
        <v>-1000</v>
      </c>
      <c r="I15" s="41">
        <f>Assumptions!I39</f>
        <v>-1000</v>
      </c>
      <c r="J15" s="41">
        <f>Assumptions!J39</f>
        <v>-1000</v>
      </c>
    </row>
    <row r="16" spans="2:12" ht="14.25" customHeight="1" x14ac:dyDescent="0.25">
      <c r="B16" s="54" t="s">
        <v>23</v>
      </c>
      <c r="C16" s="55">
        <f t="shared" ref="C16:J16" si="2">C8+C11+C12+C13+C14+C15</f>
        <v>127910</v>
      </c>
      <c r="D16" s="55">
        <f t="shared" si="2"/>
        <v>179657</v>
      </c>
      <c r="E16" s="55">
        <f t="shared" si="2"/>
        <v>140500</v>
      </c>
      <c r="F16" s="55">
        <f t="shared" si="2"/>
        <v>182819.53000000003</v>
      </c>
      <c r="G16" s="55">
        <f t="shared" si="2"/>
        <v>227396.21290000019</v>
      </c>
      <c r="H16" s="55">
        <f t="shared" si="2"/>
        <v>279182.51445999998</v>
      </c>
      <c r="I16" s="55">
        <f t="shared" si="2"/>
        <v>352627.60941520031</v>
      </c>
      <c r="J16" s="55">
        <f t="shared" si="2"/>
        <v>429999.28573772009</v>
      </c>
      <c r="L16" s="41"/>
    </row>
    <row r="17" spans="2:10" ht="14.25" customHeight="1" x14ac:dyDescent="0.25">
      <c r="B17" t="s">
        <v>105</v>
      </c>
      <c r="C17" s="43">
        <f t="shared" ref="C17:J17" si="3">C16/C6</f>
        <v>0.30532911619024883</v>
      </c>
      <c r="D17" s="43">
        <f t="shared" si="3"/>
        <v>0.27624621166108765</v>
      </c>
      <c r="E17" s="43">
        <f t="shared" si="3"/>
        <v>0.1883443658894278</v>
      </c>
      <c r="F17" s="43">
        <f t="shared" si="3"/>
        <v>0.18567191479097642</v>
      </c>
      <c r="G17" s="43">
        <f t="shared" si="3"/>
        <v>0.18294050341077103</v>
      </c>
      <c r="H17" s="43">
        <f t="shared" si="3"/>
        <v>0.18384841056565071</v>
      </c>
      <c r="I17" s="43">
        <f t="shared" si="3"/>
        <v>0.19581518699766604</v>
      </c>
      <c r="J17" s="43">
        <f t="shared" si="3"/>
        <v>0.20571808047558435</v>
      </c>
    </row>
    <row r="19" spans="2:10" ht="14.25" customHeight="1" x14ac:dyDescent="0.25">
      <c r="B19" t="s">
        <v>106</v>
      </c>
      <c r="C19" s="40">
        <v>18078</v>
      </c>
      <c r="D19" s="40">
        <v>128228</v>
      </c>
      <c r="E19" s="40">
        <v>66875</v>
      </c>
      <c r="F19" s="41">
        <f>Assumptions!F42</f>
        <v>35000</v>
      </c>
      <c r="G19" s="41">
        <f>Assumptions!G42</f>
        <v>20000</v>
      </c>
      <c r="H19" s="41">
        <f>Assumptions!H42</f>
        <v>15000</v>
      </c>
      <c r="I19" s="41">
        <f>Assumptions!I42</f>
        <v>12000</v>
      </c>
      <c r="J19" s="41">
        <f>Assumptions!J42</f>
        <v>10000</v>
      </c>
    </row>
    <row r="20" spans="2:10" ht="14.25" customHeight="1" x14ac:dyDescent="0.25">
      <c r="B20" t="s">
        <v>107</v>
      </c>
      <c r="C20" s="40">
        <v>-24668</v>
      </c>
      <c r="D20" s="40">
        <v>-116834</v>
      </c>
      <c r="E20" s="40">
        <v>-49701</v>
      </c>
      <c r="F20" s="41">
        <f>Assumptions!F43</f>
        <v>-25000</v>
      </c>
      <c r="G20" s="41">
        <f>Assumptions!G43</f>
        <v>-20000</v>
      </c>
      <c r="H20" s="41">
        <f>Assumptions!H43</f>
        <v>-15000</v>
      </c>
      <c r="I20" s="41">
        <f>Assumptions!I43</f>
        <v>-12000</v>
      </c>
      <c r="J20" s="41">
        <f>Assumptions!J43</f>
        <v>-10000</v>
      </c>
    </row>
    <row r="21" spans="2:10" ht="14.25" customHeight="1" x14ac:dyDescent="0.25">
      <c r="B21" t="s">
        <v>108</v>
      </c>
      <c r="C21" s="40">
        <v>-1037</v>
      </c>
      <c r="D21" s="40">
        <v>-12537</v>
      </c>
      <c r="E21" s="40">
        <v>-6655</v>
      </c>
      <c r="F21" s="41">
        <f>Assumptions!F44</f>
        <v>-4000</v>
      </c>
      <c r="G21" s="41">
        <f>Assumptions!G44</f>
        <v>-2000</v>
      </c>
      <c r="H21" s="41">
        <f>Assumptions!H44</f>
        <v>-1000</v>
      </c>
      <c r="I21" s="41">
        <f>Assumptions!I44</f>
        <v>-500</v>
      </c>
      <c r="J21" s="41">
        <f>Assumptions!J44</f>
        <v>-500</v>
      </c>
    </row>
    <row r="22" spans="2:10" ht="14.25" customHeight="1" x14ac:dyDescent="0.25">
      <c r="B22" s="54" t="s">
        <v>109</v>
      </c>
      <c r="C22" s="55">
        <f t="shared" ref="C22:J22" si="4">C19+C20+C21</f>
        <v>-7627</v>
      </c>
      <c r="D22" s="55">
        <f t="shared" si="4"/>
        <v>-1143</v>
      </c>
      <c r="E22" s="55">
        <f t="shared" si="4"/>
        <v>10519</v>
      </c>
      <c r="F22" s="55">
        <f t="shared" si="4"/>
        <v>6000</v>
      </c>
      <c r="G22" s="55">
        <f t="shared" si="4"/>
        <v>-2000</v>
      </c>
      <c r="H22" s="55">
        <f t="shared" si="4"/>
        <v>-1000</v>
      </c>
      <c r="I22" s="55">
        <f t="shared" si="4"/>
        <v>-500</v>
      </c>
      <c r="J22" s="55">
        <f t="shared" si="4"/>
        <v>-500</v>
      </c>
    </row>
    <row r="23" spans="2:10" ht="14.25" customHeight="1" x14ac:dyDescent="0.25">
      <c r="B23" s="54" t="s">
        <v>110</v>
      </c>
      <c r="C23" s="55">
        <f t="shared" ref="C23:J23" si="5">C16+C19+C20+C21</f>
        <v>120283</v>
      </c>
      <c r="D23" s="55">
        <f t="shared" si="5"/>
        <v>178514</v>
      </c>
      <c r="E23" s="55">
        <f t="shared" si="5"/>
        <v>151019</v>
      </c>
      <c r="F23" s="55">
        <f t="shared" si="5"/>
        <v>188819.53000000003</v>
      </c>
      <c r="G23" s="55">
        <f t="shared" si="5"/>
        <v>225396.21290000019</v>
      </c>
      <c r="H23" s="55">
        <f t="shared" si="5"/>
        <v>278182.51445999998</v>
      </c>
      <c r="I23" s="55">
        <f t="shared" si="5"/>
        <v>352127.60941520031</v>
      </c>
      <c r="J23" s="55">
        <f t="shared" si="5"/>
        <v>429499.28573772009</v>
      </c>
    </row>
    <row r="24" spans="2:10" ht="14.25" customHeight="1" x14ac:dyDescent="0.25">
      <c r="B24" t="s">
        <v>111</v>
      </c>
      <c r="C24" s="40">
        <v>-11586</v>
      </c>
      <c r="D24" s="40">
        <v>-29428</v>
      </c>
      <c r="E24" s="40">
        <v>-30550</v>
      </c>
      <c r="F24" s="41">
        <f>-F23*Assumptions!F45</f>
        <v>-39652.101300000002</v>
      </c>
      <c r="G24" s="41">
        <f>-G23*Assumptions!G45</f>
        <v>-49587.166838000041</v>
      </c>
      <c r="H24" s="41">
        <f>-H23*Assumptions!H45</f>
        <v>-61200.153181199996</v>
      </c>
      <c r="I24" s="41">
        <f>-I23*Assumptions!I45</f>
        <v>-80989.350165496071</v>
      </c>
      <c r="J24" s="41">
        <f>-J23*Assumptions!J45</f>
        <v>-98784.835719675626</v>
      </c>
    </row>
    <row r="25" spans="2:10" ht="14.25" customHeight="1" x14ac:dyDescent="0.25">
      <c r="B25" s="54" t="s">
        <v>24</v>
      </c>
      <c r="C25" s="55">
        <f t="shared" ref="C25:J25" si="6">C23+C24</f>
        <v>108697</v>
      </c>
      <c r="D25" s="55">
        <f t="shared" si="6"/>
        <v>149086</v>
      </c>
      <c r="E25" s="55">
        <f t="shared" si="6"/>
        <v>120469</v>
      </c>
      <c r="F25" s="55">
        <f t="shared" si="6"/>
        <v>149167.42870000002</v>
      </c>
      <c r="G25" s="55">
        <f t="shared" si="6"/>
        <v>175809.04606200015</v>
      </c>
      <c r="H25" s="55">
        <f t="shared" si="6"/>
        <v>216982.36127879997</v>
      </c>
      <c r="I25" s="55">
        <f t="shared" si="6"/>
        <v>271138.25924970425</v>
      </c>
      <c r="J25" s="55">
        <f t="shared" si="6"/>
        <v>330714.45001804444</v>
      </c>
    </row>
    <row r="26" spans="2:10" ht="14.25" customHeight="1" x14ac:dyDescent="0.25">
      <c r="B26" t="s">
        <v>112</v>
      </c>
      <c r="C26" s="43">
        <f t="shared" ref="C26:J26" si="7">C25/C6</f>
        <v>0.25946649161544427</v>
      </c>
      <c r="D26" s="43">
        <f t="shared" si="7"/>
        <v>0.22923928770771476</v>
      </c>
      <c r="E26" s="43">
        <f t="shared" si="7"/>
        <v>0.16149222358956211</v>
      </c>
      <c r="F26" s="43">
        <f t="shared" si="7"/>
        <v>0.15149476705894302</v>
      </c>
      <c r="G26" s="43">
        <f t="shared" si="7"/>
        <v>0.14143857094442278</v>
      </c>
      <c r="H26" s="43">
        <f t="shared" si="7"/>
        <v>0.14288811145299968</v>
      </c>
      <c r="I26" s="43">
        <f t="shared" si="7"/>
        <v>0.15056390231397992</v>
      </c>
      <c r="J26" s="43">
        <f t="shared" si="7"/>
        <v>0.15821873221610019</v>
      </c>
    </row>
    <row r="31" spans="2:10" ht="14.25" customHeight="1" x14ac:dyDescent="0.25">
      <c r="D31" s="5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1:S38"/>
  <sheetViews>
    <sheetView showGridLines="0" zoomScaleNormal="100" workbookViewId="0">
      <selection activeCell="L23" sqref="L23"/>
    </sheetView>
  </sheetViews>
  <sheetFormatPr defaultColWidth="8.5703125" defaultRowHeight="15" x14ac:dyDescent="0.25"/>
  <cols>
    <col min="2" max="2" width="40.140625" customWidth="1"/>
    <col min="4" max="5" width="9" customWidth="1"/>
    <col min="6" max="7" width="9.28515625" customWidth="1"/>
    <col min="8" max="8" width="9.7109375" customWidth="1"/>
    <col min="9" max="9" width="12.140625" customWidth="1"/>
    <col min="10" max="10" width="10" customWidth="1"/>
    <col min="13" max="13" width="9.140625" customWidth="1"/>
  </cols>
  <sheetData>
    <row r="1" spans="2:16" ht="21" customHeight="1" x14ac:dyDescent="0.35">
      <c r="B1" s="32" t="s">
        <v>96</v>
      </c>
    </row>
    <row r="2" spans="2:16" ht="14.25" customHeight="1" x14ac:dyDescent="0.25">
      <c r="B2" s="34" t="s">
        <v>113</v>
      </c>
    </row>
    <row r="3" spans="2:16" ht="14.25" customHeight="1" x14ac:dyDescent="0.25">
      <c r="B3" s="36" t="s">
        <v>98</v>
      </c>
    </row>
    <row r="5" spans="2:16" ht="14.25" customHeight="1" x14ac:dyDescent="0.25">
      <c r="C5" s="38" t="s">
        <v>15</v>
      </c>
      <c r="D5" s="38" t="s">
        <v>16</v>
      </c>
      <c r="E5" s="38" t="s">
        <v>17</v>
      </c>
      <c r="F5" s="38" t="s">
        <v>18</v>
      </c>
      <c r="G5" s="38" t="s">
        <v>19</v>
      </c>
      <c r="H5" s="38" t="s">
        <v>48</v>
      </c>
      <c r="I5" s="38" t="s">
        <v>49</v>
      </c>
      <c r="J5" s="38" t="s">
        <v>50</v>
      </c>
    </row>
    <row r="6" spans="2:16" ht="14.25" customHeight="1" x14ac:dyDescent="0.25">
      <c r="B6" s="34" t="s">
        <v>114</v>
      </c>
    </row>
    <row r="7" spans="2:16" ht="14.25" customHeight="1" x14ac:dyDescent="0.25">
      <c r="B7" t="s">
        <v>115</v>
      </c>
      <c r="C7" s="40">
        <v>468092</v>
      </c>
      <c r="D7" s="40">
        <v>536160</v>
      </c>
      <c r="E7" s="40">
        <v>425172</v>
      </c>
      <c r="F7" s="41">
        <f>'Cash Flow'!F32</f>
        <v>534252.01027671236</v>
      </c>
      <c r="G7" s="41">
        <f>'Cash Flow'!G32</f>
        <v>638944.74448016461</v>
      </c>
      <c r="H7" s="41">
        <f>'Cash Flow'!H32</f>
        <v>785293.71323221666</v>
      </c>
      <c r="I7" s="41">
        <f>'Cash Flow'!I32</f>
        <v>974508.84754968039</v>
      </c>
      <c r="J7" s="41">
        <f>'Cash Flow'!J32</f>
        <v>1193308.9891991045</v>
      </c>
    </row>
    <row r="8" spans="2:16" ht="14.25" customHeight="1" x14ac:dyDescent="0.25">
      <c r="B8" t="s">
        <v>116</v>
      </c>
      <c r="C8" s="40">
        <v>240446</v>
      </c>
      <c r="D8" s="40">
        <v>363374</v>
      </c>
      <c r="E8" s="40">
        <v>496713</v>
      </c>
      <c r="F8" s="41">
        <f>(Assumptions!F48*Assumptions!F11)/365</f>
        <v>566503.76712328766</v>
      </c>
      <c r="G8" s="41">
        <f>(Assumptions!G48*Assumptions!G11)/365</f>
        <v>664071.90164383571</v>
      </c>
      <c r="H8" s="41">
        <f>(Assumptions!H48*Assumptions!H11)/365</f>
        <v>769674.67816438351</v>
      </c>
      <c r="I8" s="41">
        <f>(Assumptions!I48*Assumptions!I11)/365</f>
        <v>888074.87189917825</v>
      </c>
      <c r="J8" s="41">
        <f>(Assumptions!J48*Assumptions!J11)/365</f>
        <v>1030801.1905972605</v>
      </c>
    </row>
    <row r="9" spans="2:16" ht="14.25" customHeight="1" x14ac:dyDescent="0.25">
      <c r="B9" t="s">
        <v>117</v>
      </c>
      <c r="C9" s="40">
        <v>1295</v>
      </c>
      <c r="D9" s="40">
        <v>102677</v>
      </c>
      <c r="E9" s="40">
        <v>129319</v>
      </c>
      <c r="F9" s="41">
        <f>Assumptions!F50</f>
        <v>50000</v>
      </c>
      <c r="G9" s="41">
        <f>Assumptions!G50</f>
        <v>20000</v>
      </c>
      <c r="H9" s="41">
        <f>Assumptions!H50</f>
        <v>10000</v>
      </c>
      <c r="I9" s="41">
        <f>Assumptions!I50</f>
        <v>5000</v>
      </c>
      <c r="J9" s="41">
        <f>Assumptions!J50</f>
        <v>5000</v>
      </c>
    </row>
    <row r="10" spans="2:16" ht="14.25" customHeight="1" x14ac:dyDescent="0.25">
      <c r="B10" t="s">
        <v>118</v>
      </c>
      <c r="C10" s="40">
        <v>57995</v>
      </c>
      <c r="D10" s="40">
        <v>13822</v>
      </c>
      <c r="E10" s="40">
        <v>21679</v>
      </c>
      <c r="F10" s="41">
        <f>Assumptions!F52</f>
        <v>23846.9</v>
      </c>
      <c r="G10" s="41">
        <f>Assumptions!G52</f>
        <v>26231.590000000004</v>
      </c>
      <c r="H10" s="41">
        <f>Assumptions!H52</f>
        <v>28854.749000000007</v>
      </c>
      <c r="I10" s="41">
        <f>Assumptions!I52</f>
        <v>31740.223900000012</v>
      </c>
      <c r="J10" s="41">
        <f>Assumptions!J52</f>
        <v>34914.246290000017</v>
      </c>
    </row>
    <row r="11" spans="2:16" ht="14.25" customHeight="1" x14ac:dyDescent="0.25">
      <c r="B11" s="54" t="s">
        <v>119</v>
      </c>
      <c r="C11" s="55">
        <f t="shared" ref="C11:J11" si="0">C7+C8+C9+C10</f>
        <v>767828</v>
      </c>
      <c r="D11" s="55">
        <f t="shared" si="0"/>
        <v>1016033</v>
      </c>
      <c r="E11" s="55">
        <f t="shared" si="0"/>
        <v>1072883</v>
      </c>
      <c r="F11" s="55">
        <f t="shared" si="0"/>
        <v>1174602.6773999999</v>
      </c>
      <c r="G11" s="55">
        <f t="shared" si="0"/>
        <v>1349248.2361240003</v>
      </c>
      <c r="H11" s="55">
        <f t="shared" si="0"/>
        <v>1593823.1403966004</v>
      </c>
      <c r="I11" s="55">
        <f t="shared" si="0"/>
        <v>1899323.9433488587</v>
      </c>
      <c r="J11" s="55">
        <f t="shared" si="0"/>
        <v>2264024.4260863652</v>
      </c>
    </row>
    <row r="12" spans="2:16" ht="14.25" customHeight="1" x14ac:dyDescent="0.25">
      <c r="B12" t="s">
        <v>120</v>
      </c>
      <c r="C12" s="40">
        <v>3934</v>
      </c>
      <c r="D12" s="40">
        <v>3689</v>
      </c>
      <c r="E12" s="40">
        <v>3645</v>
      </c>
      <c r="F12" s="41">
        <f>E12*0.95</f>
        <v>3462.75</v>
      </c>
      <c r="G12" s="41">
        <f>F12*0.95</f>
        <v>3289.6124999999997</v>
      </c>
      <c r="H12" s="41">
        <f>G12*0.95</f>
        <v>3125.1318749999996</v>
      </c>
      <c r="I12" s="41">
        <f>H12*0.95</f>
        <v>2968.8752812499993</v>
      </c>
      <c r="J12" s="41">
        <f>I12*0.95</f>
        <v>2820.4315171874991</v>
      </c>
    </row>
    <row r="13" spans="2:16" ht="14.25" customHeight="1" x14ac:dyDescent="0.25">
      <c r="B13" t="s">
        <v>121</v>
      </c>
      <c r="C13" s="40">
        <v>54539</v>
      </c>
      <c r="D13" s="40">
        <v>64731</v>
      </c>
      <c r="E13" s="40">
        <v>94801</v>
      </c>
      <c r="F13" s="41">
        <f>Assumptions!F53</f>
        <v>102385.08</v>
      </c>
      <c r="G13" s="41">
        <f>Assumptions!G53</f>
        <v>110575.8864</v>
      </c>
      <c r="H13" s="41">
        <f>Assumptions!H53</f>
        <v>119421.95731200001</v>
      </c>
      <c r="I13" s="41">
        <f>Assumptions!I53</f>
        <v>128975.71389696002</v>
      </c>
      <c r="J13" s="41">
        <f>Assumptions!J53</f>
        <v>139293.77100871684</v>
      </c>
    </row>
    <row r="14" spans="2:16" ht="14.25" customHeight="1" x14ac:dyDescent="0.25">
      <c r="B14" s="54" t="s">
        <v>122</v>
      </c>
      <c r="C14" s="55">
        <f t="shared" ref="C14:J14" si="1">C12+C13</f>
        <v>58473</v>
      </c>
      <c r="D14" s="55">
        <f t="shared" si="1"/>
        <v>68420</v>
      </c>
      <c r="E14" s="55">
        <f t="shared" si="1"/>
        <v>98446</v>
      </c>
      <c r="F14" s="55">
        <f t="shared" si="1"/>
        <v>105847.83</v>
      </c>
      <c r="G14" s="55">
        <f t="shared" si="1"/>
        <v>113865.49890000001</v>
      </c>
      <c r="H14" s="55">
        <f t="shared" si="1"/>
        <v>122547.08918700002</v>
      </c>
      <c r="I14" s="55">
        <f t="shared" si="1"/>
        <v>131944.58917821001</v>
      </c>
      <c r="J14" s="55">
        <f t="shared" si="1"/>
        <v>142114.20252590434</v>
      </c>
    </row>
    <row r="15" spans="2:16" ht="14.25" customHeight="1" x14ac:dyDescent="0.25">
      <c r="B15" s="54" t="s">
        <v>123</v>
      </c>
      <c r="C15" s="55">
        <f t="shared" ref="C15:J15" si="2">C11+C14</f>
        <v>826301</v>
      </c>
      <c r="D15" s="55">
        <f t="shared" si="2"/>
        <v>1084453</v>
      </c>
      <c r="E15" s="55">
        <f t="shared" si="2"/>
        <v>1171329</v>
      </c>
      <c r="F15" s="55">
        <f t="shared" si="2"/>
        <v>1280450.5074</v>
      </c>
      <c r="G15" s="55">
        <f t="shared" si="2"/>
        <v>1463113.7350240003</v>
      </c>
      <c r="H15" s="55">
        <f t="shared" si="2"/>
        <v>1716370.2295836003</v>
      </c>
      <c r="I15" s="55">
        <f t="shared" si="2"/>
        <v>2031268.5325270686</v>
      </c>
      <c r="J15" s="55">
        <f t="shared" si="2"/>
        <v>2406138.6286122696</v>
      </c>
      <c r="K15" s="41"/>
      <c r="L15" s="41"/>
      <c r="M15" s="41"/>
      <c r="N15" s="41"/>
      <c r="O15" s="41"/>
    </row>
    <row r="16" spans="2:16" ht="14.25" customHeight="1" x14ac:dyDescent="0.25"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spans="2:18" ht="14.25" customHeight="1" x14ac:dyDescent="0.25">
      <c r="B17" s="34" t="s">
        <v>124</v>
      </c>
      <c r="F17" s="41"/>
      <c r="G17" s="41"/>
      <c r="H17" s="41"/>
      <c r="I17" s="41"/>
      <c r="J17" s="41"/>
    </row>
    <row r="18" spans="2:18" ht="14.25" customHeight="1" x14ac:dyDescent="0.25">
      <c r="B18" t="s">
        <v>125</v>
      </c>
      <c r="C18" s="40">
        <v>407874</v>
      </c>
      <c r="D18" s="40">
        <v>602493</v>
      </c>
      <c r="E18" s="40">
        <v>597787</v>
      </c>
      <c r="F18" s="41">
        <f>Assumptions!F11*Assumptions!F49</f>
        <v>708939</v>
      </c>
      <c r="G18" s="41">
        <f>Assumptions!G11*Assumptions!G49</f>
        <v>807954.14700000011</v>
      </c>
      <c r="H18" s="41">
        <f>Assumptions!H11*Assumptions!H49</f>
        <v>911128.40279999992</v>
      </c>
      <c r="I18" s="41">
        <f>Assumptions!I11*Assumptions!I49</f>
        <v>1026466.5394368002</v>
      </c>
      <c r="J18" s="41">
        <f>Assumptions!J11*Assumptions!J49</f>
        <v>1149629.6611800003</v>
      </c>
    </row>
    <row r="19" spans="2:18" ht="14.25" customHeight="1" x14ac:dyDescent="0.25">
      <c r="B19" t="s">
        <v>126</v>
      </c>
      <c r="C19" s="40">
        <v>0</v>
      </c>
      <c r="D19" s="40">
        <v>0</v>
      </c>
      <c r="E19" s="40">
        <v>50455</v>
      </c>
      <c r="F19" s="41">
        <v>25000</v>
      </c>
      <c r="G19" s="41">
        <v>0</v>
      </c>
      <c r="H19" s="41">
        <v>0</v>
      </c>
      <c r="I19" s="41">
        <v>0</v>
      </c>
      <c r="J19" s="41">
        <v>0</v>
      </c>
    </row>
    <row r="20" spans="2:18" ht="14.25" customHeight="1" x14ac:dyDescent="0.25">
      <c r="B20" t="s">
        <v>127</v>
      </c>
      <c r="C20" s="52">
        <v>14398</v>
      </c>
      <c r="D20" s="52">
        <v>22736</v>
      </c>
      <c r="E20" s="40">
        <v>29379</v>
      </c>
      <c r="F20" s="41">
        <f>E20*(1+0.15)</f>
        <v>33785.85</v>
      </c>
      <c r="G20" s="41">
        <f>F20*(1+0.15)</f>
        <v>38853.727499999994</v>
      </c>
      <c r="H20" s="41">
        <f>G20*(1+0.15)</f>
        <v>44681.786624999986</v>
      </c>
      <c r="I20" s="41">
        <f>H20*(1+0.15)</f>
        <v>51384.054618749979</v>
      </c>
      <c r="J20" s="41">
        <f>I20*(1+0.15)</f>
        <v>59091.66281156247</v>
      </c>
    </row>
    <row r="21" spans="2:18" ht="14.25" customHeight="1" x14ac:dyDescent="0.25">
      <c r="B21" s="54" t="s">
        <v>128</v>
      </c>
      <c r="C21" s="55">
        <f>C18+C20</f>
        <v>422272</v>
      </c>
      <c r="D21" s="55">
        <f>D18+D20</f>
        <v>625229</v>
      </c>
      <c r="E21" s="55">
        <f t="shared" ref="E21:J21" si="3">E18+E19+E20</f>
        <v>677621</v>
      </c>
      <c r="F21" s="55">
        <f t="shared" si="3"/>
        <v>767724.85</v>
      </c>
      <c r="G21" s="55">
        <f t="shared" si="3"/>
        <v>846807.87450000015</v>
      </c>
      <c r="H21" s="55">
        <f t="shared" si="3"/>
        <v>955810.18942499987</v>
      </c>
      <c r="I21" s="55">
        <f t="shared" si="3"/>
        <v>1077850.5940555502</v>
      </c>
      <c r="J21" s="55">
        <f t="shared" si="3"/>
        <v>1208721.3239915627</v>
      </c>
      <c r="M21" s="41"/>
    </row>
    <row r="22" spans="2:18" ht="14.25" customHeight="1" x14ac:dyDescent="0.25">
      <c r="B22" t="s">
        <v>129</v>
      </c>
      <c r="C22" s="40">
        <v>3393</v>
      </c>
      <c r="D22" s="40">
        <v>3331</v>
      </c>
      <c r="E22" s="40">
        <v>2863</v>
      </c>
      <c r="F22" s="41">
        <f>E22*0.9</f>
        <v>2576.7000000000003</v>
      </c>
      <c r="G22" s="41">
        <f>F22*0.9</f>
        <v>2319.0300000000002</v>
      </c>
      <c r="H22" s="41">
        <f>G22*0.9</f>
        <v>2087.1270000000004</v>
      </c>
      <c r="I22" s="41">
        <f>H22*0.9</f>
        <v>1878.4143000000004</v>
      </c>
      <c r="J22" s="41">
        <f>I22*0.9</f>
        <v>1690.5728700000004</v>
      </c>
    </row>
    <row r="23" spans="2:18" ht="14.25" customHeight="1" x14ac:dyDescent="0.25">
      <c r="B23" t="s">
        <v>130</v>
      </c>
      <c r="C23" s="40">
        <v>1016</v>
      </c>
      <c r="D23" s="52">
        <v>753</v>
      </c>
      <c r="E23" s="40">
        <v>1858</v>
      </c>
      <c r="F23" s="41">
        <f>E23*1.05</f>
        <v>1950.9</v>
      </c>
      <c r="G23" s="41">
        <f>F23*1.05</f>
        <v>2048.4450000000002</v>
      </c>
      <c r="H23" s="41">
        <f>G23*1.05</f>
        <v>2150.8672500000002</v>
      </c>
      <c r="I23" s="41">
        <f>H23*1.05</f>
        <v>2258.4106125000003</v>
      </c>
      <c r="J23" s="41">
        <f>I23*1.05</f>
        <v>2371.3311431250004</v>
      </c>
      <c r="R23" s="41"/>
    </row>
    <row r="24" spans="2:18" ht="14.25" customHeight="1" x14ac:dyDescent="0.25">
      <c r="B24" s="54" t="s">
        <v>131</v>
      </c>
      <c r="C24" s="55">
        <f t="shared" ref="C24:J24" si="4">C22+C23</f>
        <v>4409</v>
      </c>
      <c r="D24" s="55">
        <f t="shared" si="4"/>
        <v>4084</v>
      </c>
      <c r="E24" s="55">
        <f t="shared" si="4"/>
        <v>4721</v>
      </c>
      <c r="F24" s="55">
        <f t="shared" si="4"/>
        <v>4527.6000000000004</v>
      </c>
      <c r="G24" s="55">
        <f t="shared" si="4"/>
        <v>4367.4750000000004</v>
      </c>
      <c r="H24" s="55">
        <f t="shared" si="4"/>
        <v>4237.9942500000006</v>
      </c>
      <c r="I24" s="55">
        <f t="shared" si="4"/>
        <v>4136.8249125000002</v>
      </c>
      <c r="J24" s="55">
        <f t="shared" si="4"/>
        <v>4061.9040131250008</v>
      </c>
    </row>
    <row r="25" spans="2:18" ht="14.25" customHeight="1" x14ac:dyDescent="0.25">
      <c r="B25" s="57" t="s">
        <v>132</v>
      </c>
      <c r="C25" s="58">
        <f t="shared" ref="C25:J25" si="5">+C21+C24</f>
        <v>426681</v>
      </c>
      <c r="D25" s="58">
        <f t="shared" si="5"/>
        <v>629313</v>
      </c>
      <c r="E25" s="58">
        <f t="shared" si="5"/>
        <v>682342</v>
      </c>
      <c r="F25" s="58">
        <f t="shared" si="5"/>
        <v>772252.45</v>
      </c>
      <c r="G25" s="58">
        <f t="shared" si="5"/>
        <v>851175.34950000013</v>
      </c>
      <c r="H25" s="58">
        <f t="shared" si="5"/>
        <v>960048.18367499986</v>
      </c>
      <c r="I25" s="58">
        <f t="shared" si="5"/>
        <v>1081987.4189680503</v>
      </c>
      <c r="J25" s="58">
        <f t="shared" si="5"/>
        <v>1212783.2280046877</v>
      </c>
    </row>
    <row r="26" spans="2:18" ht="14.25" customHeight="1" x14ac:dyDescent="0.25">
      <c r="F26" s="41"/>
      <c r="G26" s="41"/>
      <c r="H26" s="41"/>
      <c r="I26" s="41"/>
      <c r="J26" s="41"/>
    </row>
    <row r="27" spans="2:18" ht="14.25" customHeight="1" x14ac:dyDescent="0.25">
      <c r="B27" s="34" t="s">
        <v>133</v>
      </c>
      <c r="F27" s="41"/>
      <c r="G27" s="41"/>
      <c r="H27" s="41"/>
      <c r="I27" s="41"/>
      <c r="J27" s="41"/>
    </row>
    <row r="28" spans="2:18" ht="14.25" customHeight="1" x14ac:dyDescent="0.25">
      <c r="B28" t="s">
        <v>134</v>
      </c>
      <c r="C28" s="40">
        <v>164899</v>
      </c>
      <c r="D28" s="40">
        <v>173592</v>
      </c>
      <c r="E28" s="40">
        <v>187339</v>
      </c>
      <c r="F28" s="41">
        <f>E28 + (E28 * 0.02)</f>
        <v>191085.78</v>
      </c>
      <c r="G28" s="41">
        <f>F28 + (F28 * 0.02)</f>
        <v>194907.49559999999</v>
      </c>
      <c r="H28" s="41">
        <f>G28 + (G28 * 0.02)</f>
        <v>198805.64551199999</v>
      </c>
      <c r="I28" s="41">
        <f>H28 + (H28 * 0.02)</f>
        <v>202781.75842223997</v>
      </c>
      <c r="J28" s="41">
        <f>I28 + (I28 * 0.02)</f>
        <v>206837.39359068478</v>
      </c>
    </row>
    <row r="29" spans="2:18" ht="14.25" customHeight="1" x14ac:dyDescent="0.25">
      <c r="B29" t="s">
        <v>135</v>
      </c>
      <c r="C29" s="40">
        <v>219993</v>
      </c>
      <c r="D29" s="40">
        <v>369608</v>
      </c>
      <c r="E29" s="40">
        <v>490024</v>
      </c>
      <c r="F29" s="41">
        <f>E29+'Income Statement'!F25</f>
        <v>639191.42870000005</v>
      </c>
      <c r="G29" s="41">
        <f>F29+'Income Statement'!G25</f>
        <v>815000.47476200014</v>
      </c>
      <c r="H29" s="41">
        <f>G29+'Income Statement'!H25</f>
        <v>1031982.8360408001</v>
      </c>
      <c r="I29" s="41">
        <f>H29+'Income Statement'!I25</f>
        <v>1303121.0952905044</v>
      </c>
      <c r="J29" s="41">
        <f>I29+'Income Statement'!J25</f>
        <v>1633835.545308549</v>
      </c>
    </row>
    <row r="30" spans="2:18" ht="14.25" customHeight="1" x14ac:dyDescent="0.25">
      <c r="B30" t="s">
        <v>136</v>
      </c>
      <c r="C30" s="40">
        <v>14737</v>
      </c>
      <c r="D30" s="40">
        <v>11767</v>
      </c>
      <c r="E30" s="40">
        <v>12504</v>
      </c>
      <c r="F30" s="41">
        <f>E30*1.05</f>
        <v>13129.2</v>
      </c>
      <c r="G30" s="41">
        <f>F30*1.05</f>
        <v>13785.660000000002</v>
      </c>
      <c r="H30" s="41">
        <f>G30*1.05</f>
        <v>14474.943000000003</v>
      </c>
      <c r="I30" s="41">
        <f>H30*1.05</f>
        <v>15198.690150000004</v>
      </c>
      <c r="J30" s="41">
        <f>I30*1.05</f>
        <v>15958.624657500004</v>
      </c>
    </row>
    <row r="31" spans="2:18" ht="14.25" customHeight="1" x14ac:dyDescent="0.25">
      <c r="B31" t="s">
        <v>137</v>
      </c>
      <c r="C31" s="40">
        <v>0</v>
      </c>
      <c r="D31" s="40">
        <v>-99936</v>
      </c>
      <c r="E31" s="40">
        <v>-200980</v>
      </c>
      <c r="F31" s="41">
        <f>E31+Assumptions!F51</f>
        <v>-250980</v>
      </c>
      <c r="G31" s="41">
        <f>F31+Assumptions!G51</f>
        <v>-290980</v>
      </c>
      <c r="H31" s="41">
        <f>G31+Assumptions!H51</f>
        <v>-320980</v>
      </c>
      <c r="I31" s="41">
        <f>H31+Assumptions!I51</f>
        <v>-345980</v>
      </c>
      <c r="J31" s="41">
        <f>I31+Assumptions!J51</f>
        <v>-370980</v>
      </c>
    </row>
    <row r="32" spans="2:18" ht="14.25" customHeight="1" x14ac:dyDescent="0.25">
      <c r="B32" t="s">
        <v>138</v>
      </c>
      <c r="C32" s="40">
        <v>-9</v>
      </c>
      <c r="D32" s="40">
        <v>109</v>
      </c>
      <c r="E32" s="40">
        <v>100</v>
      </c>
      <c r="F32" s="41">
        <f>E32</f>
        <v>100</v>
      </c>
      <c r="G32" s="41">
        <f>F32</f>
        <v>100</v>
      </c>
      <c r="H32" s="41">
        <f>G32</f>
        <v>100</v>
      </c>
      <c r="I32" s="41">
        <f>H32</f>
        <v>100</v>
      </c>
      <c r="J32" s="41">
        <f>I32</f>
        <v>100</v>
      </c>
    </row>
    <row r="33" spans="2:19" ht="14.25" customHeight="1" x14ac:dyDescent="0.25">
      <c r="B33" t="s">
        <v>139</v>
      </c>
      <c r="C33" s="40">
        <v>0</v>
      </c>
      <c r="D33" s="40">
        <v>0</v>
      </c>
      <c r="E33" s="40">
        <v>0</v>
      </c>
      <c r="F33" s="41">
        <f>F15-F25-F28-F29-F30-F31-F32</f>
        <v>-84328.351300000038</v>
      </c>
      <c r="G33" s="41">
        <f>G15-G25-G28-G29-G30-G31-G32</f>
        <v>-120875.24483799998</v>
      </c>
      <c r="H33" s="41">
        <f>H15-H25-H28-H29-H30-H31-H32</f>
        <v>-168061.37864419963</v>
      </c>
      <c r="I33" s="41">
        <f>I15-I25-I28-I29-I30-I31-I32</f>
        <v>-225940.430303726</v>
      </c>
      <c r="J33" s="41">
        <f>J15-J25-J28-J29-J30-J31-J32</f>
        <v>-292396.16294915171</v>
      </c>
      <c r="L33" s="80" t="s">
        <v>140</v>
      </c>
      <c r="M33" s="80"/>
      <c r="N33" s="80"/>
      <c r="O33" s="80"/>
      <c r="P33" s="80"/>
      <c r="Q33" s="80"/>
      <c r="R33" s="80"/>
      <c r="S33" s="80"/>
    </row>
    <row r="34" spans="2:19" ht="14.25" customHeight="1" x14ac:dyDescent="0.25">
      <c r="B34" s="54" t="s">
        <v>141</v>
      </c>
      <c r="C34" s="55">
        <f>C28+C29+C30+C31+C32</f>
        <v>399620</v>
      </c>
      <c r="D34" s="55">
        <f>D28+D29+D30+D31+D32</f>
        <v>455140</v>
      </c>
      <c r="E34" s="55">
        <f>E28+E29+E30+E31+E32</f>
        <v>488987</v>
      </c>
      <c r="F34" s="55">
        <f>F28+F29+F30+F31+F32+F33</f>
        <v>508198.05739999999</v>
      </c>
      <c r="G34" s="55">
        <f>G28+G29+G30+G31+G32+G33</f>
        <v>611938.38552400027</v>
      </c>
      <c r="H34" s="55">
        <f>H28+H29+H30+H31+H32+H33</f>
        <v>756322.04590860056</v>
      </c>
      <c r="I34" s="55">
        <f>I28+I29+I30+I31+I32+I33</f>
        <v>949281.11355901824</v>
      </c>
      <c r="J34" s="55">
        <f>J28+J29+J30+J31+J32+J33</f>
        <v>1193355.4006075822</v>
      </c>
    </row>
    <row r="35" spans="2:19" ht="14.25" customHeight="1" x14ac:dyDescent="0.25">
      <c r="C35" s="41"/>
      <c r="D35" s="41"/>
      <c r="E35" s="41"/>
      <c r="F35" s="41"/>
      <c r="G35" s="41"/>
      <c r="H35" s="41"/>
      <c r="I35" s="41"/>
      <c r="J35" s="41"/>
    </row>
    <row r="36" spans="2:19" ht="14.25" customHeight="1" x14ac:dyDescent="0.25">
      <c r="B36" s="54" t="s">
        <v>142</v>
      </c>
      <c r="C36" s="55">
        <f t="shared" ref="C36:J36" si="6">C25+C34</f>
        <v>826301</v>
      </c>
      <c r="D36" s="55">
        <f t="shared" si="6"/>
        <v>1084453</v>
      </c>
      <c r="E36" s="55">
        <f t="shared" si="6"/>
        <v>1171329</v>
      </c>
      <c r="F36" s="55">
        <f t="shared" si="6"/>
        <v>1280450.5074</v>
      </c>
      <c r="G36" s="55">
        <f t="shared" si="6"/>
        <v>1463113.7350240005</v>
      </c>
      <c r="H36" s="55">
        <f t="shared" si="6"/>
        <v>1716370.2295836005</v>
      </c>
      <c r="I36" s="55">
        <f t="shared" si="6"/>
        <v>2031268.5325270686</v>
      </c>
      <c r="J36" s="55">
        <f t="shared" si="6"/>
        <v>2406138.6286122696</v>
      </c>
    </row>
    <row r="37" spans="2:19" ht="14.25" customHeight="1" x14ac:dyDescent="0.25">
      <c r="F37" s="41"/>
      <c r="G37" s="41"/>
      <c r="H37" s="41"/>
      <c r="I37" s="41"/>
      <c r="J37" s="41"/>
    </row>
    <row r="38" spans="2:19" ht="14.25" customHeight="1" x14ac:dyDescent="0.25">
      <c r="B38" s="59" t="s">
        <v>143</v>
      </c>
      <c r="C38" s="41">
        <f t="shared" ref="C38:J38" si="7">C15-C25-C34</f>
        <v>0</v>
      </c>
      <c r="D38" s="41">
        <f t="shared" si="7"/>
        <v>0</v>
      </c>
      <c r="E38" s="41">
        <f t="shared" si="7"/>
        <v>0</v>
      </c>
      <c r="F38" s="41">
        <f t="shared" si="7"/>
        <v>0</v>
      </c>
      <c r="G38" s="41">
        <f t="shared" si="7"/>
        <v>0</v>
      </c>
      <c r="H38" s="41">
        <f t="shared" si="7"/>
        <v>0</v>
      </c>
      <c r="I38" s="41">
        <f t="shared" si="7"/>
        <v>0</v>
      </c>
      <c r="J38" s="41">
        <f t="shared" si="7"/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B1:J38"/>
  <sheetViews>
    <sheetView showGridLines="0" zoomScaleNormal="100" workbookViewId="0">
      <selection activeCell="B1" sqref="B1"/>
    </sheetView>
  </sheetViews>
  <sheetFormatPr defaultColWidth="8.5703125" defaultRowHeight="15" x14ac:dyDescent="0.25"/>
  <cols>
    <col min="2" max="2" width="41.5703125" customWidth="1"/>
    <col min="10" max="10" width="12" customWidth="1"/>
  </cols>
  <sheetData>
    <row r="1" spans="2:10" ht="21" customHeight="1" x14ac:dyDescent="0.35">
      <c r="B1" s="32" t="s">
        <v>96</v>
      </c>
    </row>
    <row r="2" spans="2:10" ht="14.25" customHeight="1" x14ac:dyDescent="0.25">
      <c r="B2" s="34" t="s">
        <v>144</v>
      </c>
    </row>
    <row r="3" spans="2:10" ht="14.25" customHeight="1" x14ac:dyDescent="0.25">
      <c r="B3" s="36" t="s">
        <v>98</v>
      </c>
    </row>
    <row r="5" spans="2:10" ht="14.25" customHeight="1" x14ac:dyDescent="0.25">
      <c r="C5" s="38" t="s">
        <v>15</v>
      </c>
      <c r="D5" s="38" t="s">
        <v>16</v>
      </c>
      <c r="E5" s="38" t="s">
        <v>17</v>
      </c>
      <c r="F5" s="38" t="s">
        <v>18</v>
      </c>
      <c r="G5" s="38" t="s">
        <v>19</v>
      </c>
      <c r="H5" s="38" t="s">
        <v>48</v>
      </c>
      <c r="I5" s="38" t="s">
        <v>49</v>
      </c>
      <c r="J5" s="38" t="s">
        <v>50</v>
      </c>
    </row>
    <row r="6" spans="2:10" ht="14.25" customHeight="1" x14ac:dyDescent="0.25">
      <c r="B6" s="34" t="s">
        <v>145</v>
      </c>
    </row>
    <row r="7" spans="2:10" ht="14.25" customHeight="1" x14ac:dyDescent="0.25">
      <c r="B7" t="s">
        <v>24</v>
      </c>
      <c r="C7" s="41">
        <f>'Income Statement'!C25</f>
        <v>108697</v>
      </c>
      <c r="D7" s="41">
        <f>'Income Statement'!D25</f>
        <v>149086</v>
      </c>
      <c r="E7" s="41">
        <f>'Income Statement'!E25</f>
        <v>120469</v>
      </c>
      <c r="F7" s="41">
        <f>'Income Statement'!F25</f>
        <v>149167.42870000002</v>
      </c>
      <c r="G7" s="41">
        <f>'Income Statement'!G25</f>
        <v>175809.04606200015</v>
      </c>
      <c r="H7" s="41">
        <f>'Income Statement'!H25</f>
        <v>216982.36127879997</v>
      </c>
      <c r="I7" s="41">
        <f>'Income Statement'!I25</f>
        <v>271138.25924970425</v>
      </c>
      <c r="J7" s="41">
        <f>'Income Statement'!J25</f>
        <v>330714.45001804444</v>
      </c>
    </row>
    <row r="8" spans="2:10" ht="14.25" customHeight="1" x14ac:dyDescent="0.25">
      <c r="B8" t="s">
        <v>146</v>
      </c>
      <c r="C8" s="60" t="s">
        <v>147</v>
      </c>
      <c r="D8" s="40">
        <v>12225</v>
      </c>
      <c r="E8" s="40">
        <v>17395</v>
      </c>
      <c r="F8" s="41">
        <f>E8*1.15</f>
        <v>20004.25</v>
      </c>
      <c r="G8" s="41">
        <f>F8*1.15</f>
        <v>23004.887499999997</v>
      </c>
      <c r="H8" s="41">
        <f>G8*1.15</f>
        <v>26455.620624999996</v>
      </c>
      <c r="I8" s="41">
        <f>H8*1.15</f>
        <v>30423.963718749994</v>
      </c>
      <c r="J8" s="41">
        <f>I8*1.15</f>
        <v>34987.558276562493</v>
      </c>
    </row>
    <row r="9" spans="2:10" ht="14.25" customHeight="1" x14ac:dyDescent="0.25">
      <c r="B9" t="s">
        <v>148</v>
      </c>
      <c r="C9" s="60" t="s">
        <v>147</v>
      </c>
      <c r="D9" s="40">
        <v>11922</v>
      </c>
      <c r="E9" s="40">
        <v>23780</v>
      </c>
      <c r="F9" s="41">
        <f>E9*1.1</f>
        <v>26158.000000000004</v>
      </c>
      <c r="G9" s="41">
        <f>F9*1.1</f>
        <v>28773.800000000007</v>
      </c>
      <c r="H9" s="41">
        <f>G9*1.1</f>
        <v>31651.180000000011</v>
      </c>
      <c r="I9" s="41">
        <f>H9*1.1</f>
        <v>34816.298000000017</v>
      </c>
      <c r="J9" s="41">
        <f>I9*1.1</f>
        <v>38297.927800000019</v>
      </c>
    </row>
    <row r="10" spans="2:10" ht="14.25" customHeight="1" x14ac:dyDescent="0.25">
      <c r="B10" t="s">
        <v>149</v>
      </c>
      <c r="C10" s="60" t="s">
        <v>147</v>
      </c>
      <c r="D10" s="40">
        <v>-78640</v>
      </c>
      <c r="E10" s="40">
        <v>-37416</v>
      </c>
      <c r="F10" s="41">
        <v>-15000</v>
      </c>
      <c r="G10" s="41">
        <v>-8000</v>
      </c>
      <c r="H10" s="41">
        <v>-4000</v>
      </c>
      <c r="I10" s="41">
        <v>-2000</v>
      </c>
      <c r="J10" s="41">
        <f>-(Assumptions!J50-Assumptions!I50)</f>
        <v>0</v>
      </c>
    </row>
    <row r="11" spans="2:10" ht="14.25" customHeight="1" x14ac:dyDescent="0.25">
      <c r="B11" t="s">
        <v>150</v>
      </c>
      <c r="C11" s="60" t="s">
        <v>147</v>
      </c>
      <c r="D11" s="40">
        <v>-123246</v>
      </c>
      <c r="E11" s="40">
        <v>-162645</v>
      </c>
      <c r="F11" s="41">
        <f>-('Balance Sheet'!F8-'Balance Sheet'!E8)</f>
        <v>-69790.76712328766</v>
      </c>
      <c r="G11" s="41">
        <f>-('Balance Sheet'!G8-'Balance Sheet'!F8)</f>
        <v>-97568.134520548047</v>
      </c>
      <c r="H11" s="41">
        <f>-('Balance Sheet'!H8-'Balance Sheet'!G8)</f>
        <v>-105602.77652054781</v>
      </c>
      <c r="I11" s="41">
        <f>-('Balance Sheet'!I8-'Balance Sheet'!H8)</f>
        <v>-118400.19373479474</v>
      </c>
      <c r="J11" s="41">
        <f>-('Balance Sheet'!J8-'Balance Sheet'!I8)</f>
        <v>-142726.31869808224</v>
      </c>
    </row>
    <row r="12" spans="2:10" ht="14.25" customHeight="1" x14ac:dyDescent="0.25">
      <c r="B12" t="s">
        <v>151</v>
      </c>
      <c r="C12" s="60" t="s">
        <v>147</v>
      </c>
      <c r="D12" s="40">
        <v>194619</v>
      </c>
      <c r="E12" s="40">
        <v>-6957</v>
      </c>
      <c r="F12" s="41">
        <f>'Balance Sheet'!F18-'Balance Sheet'!E18</f>
        <v>111152</v>
      </c>
      <c r="G12" s="41">
        <f>'Balance Sheet'!G18-'Balance Sheet'!F18</f>
        <v>99015.147000000114</v>
      </c>
      <c r="H12" s="41">
        <f>'Balance Sheet'!H18-'Balance Sheet'!G18</f>
        <v>103174.25579999981</v>
      </c>
      <c r="I12" s="41">
        <f>'Balance Sheet'!I18-'Balance Sheet'!H18</f>
        <v>115338.13663680025</v>
      </c>
      <c r="J12" s="41">
        <f>'Balance Sheet'!J18-'Balance Sheet'!I18</f>
        <v>123163.12174320011</v>
      </c>
    </row>
    <row r="13" spans="2:10" ht="14.25" customHeight="1" x14ac:dyDescent="0.25">
      <c r="B13" t="s">
        <v>152</v>
      </c>
      <c r="C13" s="60" t="s">
        <v>147</v>
      </c>
      <c r="D13" s="40">
        <v>138962</v>
      </c>
      <c r="E13" s="40">
        <v>41286</v>
      </c>
      <c r="F13" s="41">
        <v>10000</v>
      </c>
      <c r="G13" s="41">
        <v>10001</v>
      </c>
      <c r="H13" s="41">
        <v>10002</v>
      </c>
      <c r="I13" s="41">
        <v>10003</v>
      </c>
      <c r="J13" s="41">
        <v>10004</v>
      </c>
    </row>
    <row r="14" spans="2:10" ht="14.25" customHeight="1" x14ac:dyDescent="0.25">
      <c r="B14" t="s">
        <v>153</v>
      </c>
      <c r="C14" s="60" t="s">
        <v>147</v>
      </c>
      <c r="D14" s="40">
        <v>-11475</v>
      </c>
      <c r="E14" s="40">
        <v>-28696</v>
      </c>
      <c r="F14" s="41">
        <f>'Income Statement'!F24</f>
        <v>-39652.101300000002</v>
      </c>
      <c r="G14" s="41">
        <f>'Income Statement'!G24</f>
        <v>-49587.166838000041</v>
      </c>
      <c r="H14" s="41">
        <f>'Income Statement'!H24</f>
        <v>-61200.153181199996</v>
      </c>
      <c r="I14" s="41">
        <f>'Income Statement'!I24</f>
        <v>-80989.350165496071</v>
      </c>
      <c r="J14" s="41">
        <f>'Income Statement'!J24</f>
        <v>-98784.835719675626</v>
      </c>
    </row>
    <row r="15" spans="2:10" ht="14.25" customHeight="1" x14ac:dyDescent="0.25">
      <c r="B15" s="54" t="s">
        <v>154</v>
      </c>
      <c r="C15" s="61" t="s">
        <v>147</v>
      </c>
      <c r="D15" s="55">
        <f t="shared" ref="D15:J15" si="0">D7+D8+D9+D10+D11+D12+D13+D14</f>
        <v>293453</v>
      </c>
      <c r="E15" s="55">
        <f t="shared" si="0"/>
        <v>-32784</v>
      </c>
      <c r="F15" s="55">
        <f t="shared" si="0"/>
        <v>192038.81027671235</v>
      </c>
      <c r="G15" s="55">
        <f t="shared" si="0"/>
        <v>181448.57920345222</v>
      </c>
      <c r="H15" s="55">
        <f t="shared" si="0"/>
        <v>217462.48800205198</v>
      </c>
      <c r="I15" s="55">
        <f t="shared" si="0"/>
        <v>260330.1137049637</v>
      </c>
      <c r="J15" s="55">
        <f t="shared" si="0"/>
        <v>295655.90342004917</v>
      </c>
    </row>
    <row r="16" spans="2:10" ht="14.25" customHeight="1" x14ac:dyDescent="0.25">
      <c r="C16" s="41"/>
      <c r="D16" s="41"/>
      <c r="E16" s="41"/>
      <c r="F16" s="41"/>
      <c r="G16" s="41"/>
      <c r="H16" s="41"/>
      <c r="I16" s="41"/>
      <c r="J16" s="41"/>
    </row>
    <row r="17" spans="2:10" ht="14.25" customHeight="1" x14ac:dyDescent="0.25">
      <c r="B17" s="34" t="s">
        <v>155</v>
      </c>
      <c r="C17" s="41"/>
      <c r="D17" s="41"/>
      <c r="E17" s="41"/>
      <c r="F17" s="41"/>
      <c r="G17" s="41"/>
      <c r="H17" s="41"/>
      <c r="I17" s="41"/>
      <c r="J17" s="41"/>
    </row>
    <row r="18" spans="2:10" ht="14.25" customHeight="1" x14ac:dyDescent="0.25">
      <c r="B18" t="s">
        <v>156</v>
      </c>
      <c r="C18" s="60" t="s">
        <v>147</v>
      </c>
      <c r="D18" s="52">
        <v>-965</v>
      </c>
      <c r="E18" s="40">
        <v>-1705</v>
      </c>
      <c r="F18">
        <f>E18*1.1</f>
        <v>-1875.5000000000002</v>
      </c>
      <c r="G18">
        <f>F18*1.1</f>
        <v>-2063.0500000000006</v>
      </c>
      <c r="H18">
        <f>G18*1.1</f>
        <v>-2269.3550000000009</v>
      </c>
      <c r="I18">
        <f>H18*1.1</f>
        <v>-2496.2905000000014</v>
      </c>
      <c r="J18">
        <f>I18*1.1</f>
        <v>-2745.9195500000019</v>
      </c>
    </row>
    <row r="19" spans="2:10" ht="14.25" customHeight="1" x14ac:dyDescent="0.25">
      <c r="B19" t="s">
        <v>157</v>
      </c>
      <c r="C19" s="60" t="s">
        <v>147</v>
      </c>
      <c r="D19" s="40">
        <v>-17260</v>
      </c>
      <c r="E19" s="40">
        <v>-20942</v>
      </c>
      <c r="F19">
        <f>E19*1.15</f>
        <v>-24083.3</v>
      </c>
      <c r="G19">
        <f>F19*1.15</f>
        <v>-27695.794999999998</v>
      </c>
      <c r="H19">
        <f>G19*1.15</f>
        <v>-31850.164249999994</v>
      </c>
      <c r="I19">
        <f>H19*1.15</f>
        <v>-36627.688887499993</v>
      </c>
      <c r="J19">
        <f>I19*1.15</f>
        <v>-42121.842220624989</v>
      </c>
    </row>
    <row r="20" spans="2:10" ht="14.25" customHeight="1" x14ac:dyDescent="0.25">
      <c r="B20" t="s">
        <v>158</v>
      </c>
      <c r="C20" s="60" t="s">
        <v>147</v>
      </c>
      <c r="D20" s="40">
        <v>-66442</v>
      </c>
      <c r="E20" s="40">
        <v>4895</v>
      </c>
      <c r="F20" s="41">
        <v>-5000</v>
      </c>
      <c r="G20" s="41">
        <v>-4999</v>
      </c>
      <c r="H20" s="41">
        <v>-4998</v>
      </c>
      <c r="I20" s="41">
        <v>-4997</v>
      </c>
      <c r="J20" s="41">
        <v>-4996</v>
      </c>
    </row>
    <row r="21" spans="2:10" ht="14.25" customHeight="1" x14ac:dyDescent="0.25">
      <c r="B21" s="54" t="s">
        <v>159</v>
      </c>
      <c r="C21" s="55"/>
      <c r="D21" s="55">
        <f t="shared" ref="D21:J21" si="1">D18+D19+D20</f>
        <v>-84667</v>
      </c>
      <c r="E21" s="55">
        <f t="shared" si="1"/>
        <v>-17752</v>
      </c>
      <c r="F21" s="55">
        <f t="shared" si="1"/>
        <v>-30958.799999999999</v>
      </c>
      <c r="G21" s="55">
        <f t="shared" si="1"/>
        <v>-34757.845000000001</v>
      </c>
      <c r="H21" s="55">
        <f t="shared" si="1"/>
        <v>-39117.519249999998</v>
      </c>
      <c r="I21" s="55">
        <f t="shared" si="1"/>
        <v>-44120.979387499996</v>
      </c>
      <c r="J21" s="55">
        <f t="shared" si="1"/>
        <v>-49863.761770624988</v>
      </c>
    </row>
    <row r="22" spans="2:10" ht="14.25" customHeight="1" x14ac:dyDescent="0.25">
      <c r="C22" s="41"/>
      <c r="D22" s="41"/>
      <c r="E22" s="41"/>
      <c r="F22" s="41"/>
      <c r="G22" s="41"/>
      <c r="H22" s="41"/>
      <c r="I22" s="41"/>
      <c r="J22" s="41"/>
    </row>
    <row r="23" spans="2:10" ht="14.25" customHeight="1" x14ac:dyDescent="0.25">
      <c r="B23" s="34" t="s">
        <v>160</v>
      </c>
      <c r="C23" s="41"/>
      <c r="D23" s="41"/>
      <c r="E23" s="41"/>
      <c r="F23" s="41"/>
      <c r="G23" s="41"/>
      <c r="H23" s="41"/>
      <c r="I23" s="41"/>
      <c r="J23" s="41"/>
    </row>
    <row r="24" spans="2:10" ht="14.25" customHeight="1" x14ac:dyDescent="0.25">
      <c r="B24" t="s">
        <v>161</v>
      </c>
      <c r="C24" s="60" t="s">
        <v>147</v>
      </c>
      <c r="D24" s="40">
        <v>-97929</v>
      </c>
      <c r="E24" s="40">
        <v>-101067</v>
      </c>
      <c r="F24" s="41">
        <f>Assumptions!F51</f>
        <v>-50000</v>
      </c>
      <c r="G24" s="41">
        <f>Assumptions!G51</f>
        <v>-40000</v>
      </c>
      <c r="H24" s="41">
        <f>Assumptions!H51</f>
        <v>-30000</v>
      </c>
      <c r="I24" s="41">
        <f>Assumptions!I51</f>
        <v>-25000</v>
      </c>
      <c r="J24" s="41">
        <f>Assumptions!J51</f>
        <v>-25000</v>
      </c>
    </row>
    <row r="25" spans="2:10" ht="14.25" customHeight="1" x14ac:dyDescent="0.25">
      <c r="B25" t="s">
        <v>162</v>
      </c>
      <c r="C25" s="60" t="s">
        <v>147</v>
      </c>
      <c r="D25" s="40">
        <v>-35942</v>
      </c>
      <c r="E25" s="40">
        <v>32480</v>
      </c>
      <c r="F25" s="41">
        <v>-5000</v>
      </c>
      <c r="G25" s="41">
        <v>-4999</v>
      </c>
      <c r="H25" s="41">
        <v>-4998</v>
      </c>
      <c r="I25" s="41">
        <v>-4997</v>
      </c>
      <c r="J25" s="41">
        <v>-4996</v>
      </c>
    </row>
    <row r="26" spans="2:10" ht="14.25" customHeight="1" x14ac:dyDescent="0.25">
      <c r="B26" s="54" t="s">
        <v>163</v>
      </c>
      <c r="C26" s="55"/>
      <c r="D26" s="55">
        <f t="shared" ref="D26:J26" si="2">D24+D25</f>
        <v>-133871</v>
      </c>
      <c r="E26" s="55">
        <f t="shared" si="2"/>
        <v>-68587</v>
      </c>
      <c r="F26" s="55">
        <f t="shared" si="2"/>
        <v>-55000</v>
      </c>
      <c r="G26" s="55">
        <f t="shared" si="2"/>
        <v>-44999</v>
      </c>
      <c r="H26" s="55">
        <f t="shared" si="2"/>
        <v>-34998</v>
      </c>
      <c r="I26" s="55">
        <f t="shared" si="2"/>
        <v>-29997</v>
      </c>
      <c r="J26" s="55">
        <f t="shared" si="2"/>
        <v>-29996</v>
      </c>
    </row>
    <row r="27" spans="2:10" ht="14.25" customHeight="1" x14ac:dyDescent="0.25">
      <c r="C27" s="41"/>
      <c r="D27" s="41"/>
      <c r="E27" s="41"/>
      <c r="F27" s="41"/>
      <c r="G27" s="41"/>
      <c r="H27" s="41"/>
      <c r="I27" s="41"/>
      <c r="J27" s="41"/>
    </row>
    <row r="28" spans="2:10" ht="14.25" customHeight="1" x14ac:dyDescent="0.25">
      <c r="B28" s="34" t="s">
        <v>164</v>
      </c>
      <c r="C28" s="41"/>
      <c r="D28" s="41"/>
      <c r="E28" s="41"/>
      <c r="F28" s="41"/>
      <c r="G28" s="41"/>
      <c r="H28" s="41"/>
      <c r="I28" s="41"/>
      <c r="J28" s="41"/>
    </row>
    <row r="29" spans="2:10" ht="14.25" customHeight="1" x14ac:dyDescent="0.25">
      <c r="B29" t="s">
        <v>165</v>
      </c>
      <c r="C29" s="60" t="s">
        <v>147</v>
      </c>
      <c r="D29" s="40">
        <v>468092</v>
      </c>
      <c r="E29" s="41">
        <f t="shared" ref="E29:J29" si="3">D32</f>
        <v>536160</v>
      </c>
      <c r="F29" s="41">
        <f t="shared" si="3"/>
        <v>425172</v>
      </c>
      <c r="G29" s="41">
        <f t="shared" si="3"/>
        <v>534252.01027671236</v>
      </c>
      <c r="H29" s="41">
        <f t="shared" si="3"/>
        <v>638944.74448016461</v>
      </c>
      <c r="I29" s="41">
        <f t="shared" si="3"/>
        <v>785293.71323221666</v>
      </c>
      <c r="J29" s="41">
        <f t="shared" si="3"/>
        <v>974508.84754968039</v>
      </c>
    </row>
    <row r="30" spans="2:10" ht="14.25" customHeight="1" x14ac:dyDescent="0.25">
      <c r="B30" t="s">
        <v>166</v>
      </c>
      <c r="C30" s="60" t="s">
        <v>147</v>
      </c>
      <c r="D30" s="41">
        <f t="shared" ref="D30:J30" si="4">D15+D21+D26</f>
        <v>74915</v>
      </c>
      <c r="E30" s="41">
        <f t="shared" si="4"/>
        <v>-119123</v>
      </c>
      <c r="F30" s="41">
        <f t="shared" si="4"/>
        <v>106080.01027671236</v>
      </c>
      <c r="G30" s="41">
        <f t="shared" si="4"/>
        <v>101691.73420345222</v>
      </c>
      <c r="H30" s="41">
        <f t="shared" si="4"/>
        <v>143346.96875205199</v>
      </c>
      <c r="I30" s="41">
        <f t="shared" si="4"/>
        <v>186212.1343174637</v>
      </c>
      <c r="J30" s="41">
        <f t="shared" si="4"/>
        <v>215796.14164942419</v>
      </c>
    </row>
    <row r="31" spans="2:10" ht="14.25" customHeight="1" x14ac:dyDescent="0.25">
      <c r="B31" t="s">
        <v>167</v>
      </c>
      <c r="C31" s="60" t="s">
        <v>147</v>
      </c>
      <c r="D31" s="40">
        <v>-6847</v>
      </c>
      <c r="E31" s="40">
        <v>8135</v>
      </c>
      <c r="F31" s="41">
        <v>3000</v>
      </c>
      <c r="G31" s="41">
        <v>3001</v>
      </c>
      <c r="H31" s="41">
        <v>3002</v>
      </c>
      <c r="I31" s="41">
        <v>3003</v>
      </c>
      <c r="J31" s="41">
        <v>3004</v>
      </c>
    </row>
    <row r="32" spans="2:10" ht="14.25" customHeight="1" x14ac:dyDescent="0.25">
      <c r="B32" s="54" t="s">
        <v>168</v>
      </c>
      <c r="C32" s="55"/>
      <c r="D32" s="55">
        <f t="shared" ref="D32:J32" si="5">D29+D30+D31</f>
        <v>536160</v>
      </c>
      <c r="E32" s="55">
        <f t="shared" si="5"/>
        <v>425172</v>
      </c>
      <c r="F32" s="55">
        <f t="shared" si="5"/>
        <v>534252.01027671236</v>
      </c>
      <c r="G32" s="55">
        <f t="shared" si="5"/>
        <v>638944.74448016461</v>
      </c>
      <c r="H32" s="55">
        <f t="shared" si="5"/>
        <v>785293.71323221666</v>
      </c>
      <c r="I32" s="55">
        <f t="shared" si="5"/>
        <v>974508.84754968039</v>
      </c>
      <c r="J32" s="55">
        <f t="shared" si="5"/>
        <v>1193308.9891991045</v>
      </c>
    </row>
    <row r="33" spans="2:10" ht="14.25" customHeight="1" x14ac:dyDescent="0.25">
      <c r="C33" s="41"/>
      <c r="D33" s="41"/>
      <c r="E33" s="41"/>
      <c r="F33" s="41"/>
      <c r="G33" s="41"/>
      <c r="H33" s="41"/>
      <c r="I33" s="41"/>
      <c r="J33" s="41"/>
    </row>
    <row r="34" spans="2:10" ht="14.25" customHeight="1" x14ac:dyDescent="0.25">
      <c r="B34" s="34" t="s">
        <v>169</v>
      </c>
      <c r="C34" s="41"/>
      <c r="D34" s="41"/>
      <c r="E34" s="41"/>
      <c r="F34" s="41"/>
      <c r="G34" s="41"/>
      <c r="H34" s="41"/>
      <c r="I34" s="41"/>
      <c r="J34" s="41"/>
    </row>
    <row r="35" spans="2:10" ht="14.25" customHeight="1" x14ac:dyDescent="0.25">
      <c r="B35" t="s">
        <v>170</v>
      </c>
      <c r="C35" s="60" t="s">
        <v>147</v>
      </c>
      <c r="D35" s="41">
        <f t="shared" ref="D35:J35" si="6">D15</f>
        <v>293453</v>
      </c>
      <c r="E35" s="41">
        <f t="shared" si="6"/>
        <v>-32784</v>
      </c>
      <c r="F35" s="41">
        <f t="shared" si="6"/>
        <v>192038.81027671235</v>
      </c>
      <c r="G35" s="41">
        <f t="shared" si="6"/>
        <v>181448.57920345222</v>
      </c>
      <c r="H35" s="41">
        <f t="shared" si="6"/>
        <v>217462.48800205198</v>
      </c>
      <c r="I35" s="41">
        <f t="shared" si="6"/>
        <v>260330.1137049637</v>
      </c>
      <c r="J35" s="41">
        <f t="shared" si="6"/>
        <v>295655.90342004917</v>
      </c>
    </row>
    <row r="36" spans="2:10" ht="14.25" customHeight="1" x14ac:dyDescent="0.25">
      <c r="B36" t="s">
        <v>171</v>
      </c>
      <c r="C36" s="60" t="s">
        <v>147</v>
      </c>
      <c r="D36" s="41">
        <f t="shared" ref="D36:J37" si="7">D18</f>
        <v>-965</v>
      </c>
      <c r="E36" s="41">
        <f t="shared" si="7"/>
        <v>-1705</v>
      </c>
      <c r="F36">
        <f t="shared" si="7"/>
        <v>-1875.5000000000002</v>
      </c>
      <c r="G36">
        <f t="shared" si="7"/>
        <v>-2063.0500000000006</v>
      </c>
      <c r="H36">
        <f t="shared" si="7"/>
        <v>-2269.3550000000009</v>
      </c>
      <c r="I36">
        <f t="shared" si="7"/>
        <v>-2496.2905000000014</v>
      </c>
      <c r="J36">
        <f t="shared" si="7"/>
        <v>-2745.9195500000019</v>
      </c>
    </row>
    <row r="37" spans="2:10" ht="14.25" customHeight="1" x14ac:dyDescent="0.25">
      <c r="B37" t="s">
        <v>172</v>
      </c>
      <c r="C37" s="60" t="s">
        <v>147</v>
      </c>
      <c r="D37" s="41">
        <f t="shared" si="7"/>
        <v>-17260</v>
      </c>
      <c r="E37" s="41">
        <f t="shared" si="7"/>
        <v>-20942</v>
      </c>
      <c r="F37">
        <f t="shared" si="7"/>
        <v>-24083.3</v>
      </c>
      <c r="G37">
        <f t="shared" si="7"/>
        <v>-27695.794999999998</v>
      </c>
      <c r="H37">
        <f t="shared" si="7"/>
        <v>-31850.164249999994</v>
      </c>
      <c r="I37">
        <f t="shared" si="7"/>
        <v>-36627.688887499993</v>
      </c>
      <c r="J37">
        <f t="shared" si="7"/>
        <v>-42121.842220624989</v>
      </c>
    </row>
    <row r="38" spans="2:10" ht="14.25" customHeight="1" x14ac:dyDescent="0.25">
      <c r="B38" s="34" t="s">
        <v>173</v>
      </c>
      <c r="C38" s="60" t="s">
        <v>147</v>
      </c>
      <c r="D38" s="41">
        <f t="shared" ref="D38:J38" si="8">D35+D36+D37</f>
        <v>275228</v>
      </c>
      <c r="E38" s="41">
        <f t="shared" si="8"/>
        <v>-55431</v>
      </c>
      <c r="F38" s="41">
        <f t="shared" si="8"/>
        <v>166080.01027671236</v>
      </c>
      <c r="G38" s="41">
        <f t="shared" si="8"/>
        <v>151689.73420345224</v>
      </c>
      <c r="H38" s="41">
        <f t="shared" si="8"/>
        <v>183342.96875205197</v>
      </c>
      <c r="I38" s="41">
        <f t="shared" si="8"/>
        <v>221206.1343174637</v>
      </c>
      <c r="J38" s="41">
        <f t="shared" si="8"/>
        <v>250788.14164942419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B1:V65"/>
  <sheetViews>
    <sheetView showGridLines="0" topLeftCell="A22" zoomScaleNormal="100" workbookViewId="0">
      <selection activeCell="B1" sqref="B1"/>
    </sheetView>
  </sheetViews>
  <sheetFormatPr defaultColWidth="8.5703125" defaultRowHeight="15" x14ac:dyDescent="0.25"/>
  <cols>
    <col min="2" max="2" width="40.140625" customWidth="1"/>
    <col min="3" max="3" width="10.140625" customWidth="1"/>
  </cols>
  <sheetData>
    <row r="1" spans="2:10" ht="21" customHeight="1" x14ac:dyDescent="0.35">
      <c r="B1" s="32" t="s">
        <v>96</v>
      </c>
    </row>
    <row r="2" spans="2:10" ht="14.25" customHeight="1" x14ac:dyDescent="0.25">
      <c r="B2" s="34" t="s">
        <v>174</v>
      </c>
    </row>
    <row r="3" spans="2:10" ht="14.25" customHeight="1" x14ac:dyDescent="0.25">
      <c r="B3" s="36" t="s">
        <v>98</v>
      </c>
    </row>
    <row r="5" spans="2:10" ht="14.25" customHeight="1" x14ac:dyDescent="0.25">
      <c r="C5" s="62" t="s">
        <v>15</v>
      </c>
      <c r="D5" s="62" t="s">
        <v>16</v>
      </c>
      <c r="E5" s="62" t="s">
        <v>17</v>
      </c>
      <c r="F5" s="38" t="s">
        <v>18</v>
      </c>
      <c r="G5" s="38" t="s">
        <v>19</v>
      </c>
      <c r="H5" s="38" t="s">
        <v>48</v>
      </c>
      <c r="I5" s="38" t="s">
        <v>49</v>
      </c>
      <c r="J5" s="38" t="s">
        <v>50</v>
      </c>
    </row>
    <row r="6" spans="2:10" ht="14.25" customHeight="1" x14ac:dyDescent="0.25">
      <c r="B6" s="34" t="s">
        <v>175</v>
      </c>
      <c r="C6" s="63"/>
      <c r="D6" s="63"/>
      <c r="E6" s="63"/>
      <c r="F6" s="41"/>
      <c r="G6" s="41"/>
      <c r="H6" s="41"/>
      <c r="I6" s="41"/>
      <c r="J6" s="41"/>
    </row>
    <row r="7" spans="2:10" ht="14.25" customHeight="1" x14ac:dyDescent="0.25">
      <c r="B7" t="s">
        <v>176</v>
      </c>
      <c r="C7" s="64" t="s">
        <v>147</v>
      </c>
      <c r="D7" s="64" t="s">
        <v>147</v>
      </c>
      <c r="E7" s="64" t="s">
        <v>147</v>
      </c>
      <c r="F7" s="41">
        <f>'Cash Flow'!F38</f>
        <v>166080.01027671236</v>
      </c>
      <c r="G7" s="41">
        <f>'Cash Flow'!G38</f>
        <v>151689.73420345224</v>
      </c>
      <c r="H7" s="41">
        <f>'Cash Flow'!H38</f>
        <v>183342.96875205197</v>
      </c>
      <c r="I7" s="41">
        <f>'Cash Flow'!I38</f>
        <v>221206.1343174637</v>
      </c>
      <c r="J7" s="41">
        <f>'Cash Flow'!J38</f>
        <v>250788.14164942419</v>
      </c>
    </row>
    <row r="8" spans="2:10" ht="14.25" customHeight="1" x14ac:dyDescent="0.25">
      <c r="B8" t="s">
        <v>177</v>
      </c>
      <c r="C8" s="64" t="s">
        <v>147</v>
      </c>
      <c r="D8" s="64" t="s">
        <v>147</v>
      </c>
      <c r="E8" s="64" t="s">
        <v>147</v>
      </c>
      <c r="F8">
        <v>0.5</v>
      </c>
      <c r="G8">
        <v>1.5</v>
      </c>
      <c r="H8">
        <v>2.5</v>
      </c>
      <c r="I8">
        <v>3.5</v>
      </c>
      <c r="J8">
        <v>4.5</v>
      </c>
    </row>
    <row r="9" spans="2:10" ht="14.25" customHeight="1" x14ac:dyDescent="0.25">
      <c r="B9" t="s">
        <v>178</v>
      </c>
      <c r="C9" s="64" t="s">
        <v>147</v>
      </c>
      <c r="D9" s="64" t="s">
        <v>147</v>
      </c>
      <c r="E9" s="64" t="s">
        <v>147</v>
      </c>
      <c r="F9" s="65">
        <f>1/((1+$C$23)^F8)</f>
        <v>0.94420752880586967</v>
      </c>
      <c r="G9" s="65">
        <f>1/((1+$C$23)^G8)</f>
        <v>0.84178731514793748</v>
      </c>
      <c r="H9" s="65">
        <f>1/((1+$C$23)^H8)</f>
        <v>0.75047684150553229</v>
      </c>
      <c r="I9" s="65">
        <f>1/((1+$C$23)^I8)</f>
        <v>0.66907101057603746</v>
      </c>
      <c r="J9" s="65">
        <f>1/((1+$C$23)^J8)</f>
        <v>0.59649544454322789</v>
      </c>
    </row>
    <row r="10" spans="2:10" ht="14.25" customHeight="1" x14ac:dyDescent="0.25">
      <c r="B10" t="s">
        <v>179</v>
      </c>
      <c r="C10" s="64" t="s">
        <v>147</v>
      </c>
      <c r="D10" s="64" t="s">
        <v>147</v>
      </c>
      <c r="E10" s="64" t="s">
        <v>147</v>
      </c>
      <c r="F10" s="41">
        <f>F7*F9</f>
        <v>156813.99608742801</v>
      </c>
      <c r="G10" s="41">
        <f>G7*G9</f>
        <v>127690.49409062833</v>
      </c>
      <c r="H10" s="41">
        <f>H7*H9</f>
        <v>137594.65210128747</v>
      </c>
      <c r="I10" s="41">
        <f>I7*I9</f>
        <v>148002.61183340411</v>
      </c>
      <c r="J10" s="41">
        <f>J7*J9</f>
        <v>149593.98403934328</v>
      </c>
    </row>
    <row r="11" spans="2:10" ht="14.25" customHeight="1" x14ac:dyDescent="0.25">
      <c r="B11" s="57" t="s">
        <v>180</v>
      </c>
      <c r="C11" s="58">
        <f>SUM(F10:J10)</f>
        <v>719695.73815209127</v>
      </c>
      <c r="F11" s="41"/>
    </row>
    <row r="13" spans="2:10" ht="14.25" customHeight="1" x14ac:dyDescent="0.25">
      <c r="B13" s="34" t="s">
        <v>181</v>
      </c>
    </row>
    <row r="14" spans="2:10" ht="14.25" customHeight="1" x14ac:dyDescent="0.25">
      <c r="B14" t="s">
        <v>182</v>
      </c>
      <c r="C14" s="44">
        <v>4.2999999999999997E-2</v>
      </c>
    </row>
    <row r="15" spans="2:10" ht="14.25" customHeight="1" x14ac:dyDescent="0.25">
      <c r="B15" t="s">
        <v>183</v>
      </c>
      <c r="C15" s="44">
        <v>5.5E-2</v>
      </c>
    </row>
    <row r="16" spans="2:10" ht="14.25" customHeight="1" x14ac:dyDescent="0.25">
      <c r="B16" t="s">
        <v>184</v>
      </c>
      <c r="C16" s="52">
        <v>1.45</v>
      </c>
    </row>
    <row r="17" spans="2:3" ht="14.25" customHeight="1" x14ac:dyDescent="0.25">
      <c r="B17" t="s">
        <v>185</v>
      </c>
      <c r="C17" s="45">
        <f>C14+(C16*C15)</f>
        <v>0.12275</v>
      </c>
    </row>
    <row r="18" spans="2:3" ht="14.25" customHeight="1" x14ac:dyDescent="0.25">
      <c r="B18" t="s">
        <v>186</v>
      </c>
      <c r="C18" s="44">
        <v>6.5000000000000002E-2</v>
      </c>
    </row>
    <row r="19" spans="2:3" ht="14.25" customHeight="1" x14ac:dyDescent="0.25">
      <c r="B19" t="s">
        <v>187</v>
      </c>
      <c r="C19" s="66">
        <f>Assumptions!F45</f>
        <v>0.21</v>
      </c>
    </row>
    <row r="20" spans="2:3" ht="14.25" customHeight="1" x14ac:dyDescent="0.25">
      <c r="B20" t="s">
        <v>188</v>
      </c>
      <c r="C20" s="45">
        <f>C18*(1-C19)</f>
        <v>5.1350000000000007E-2</v>
      </c>
    </row>
    <row r="21" spans="2:3" ht="14.25" customHeight="1" x14ac:dyDescent="0.25">
      <c r="B21" t="s">
        <v>189</v>
      </c>
      <c r="C21" s="42">
        <f>3542632/(3542632+54412)</f>
        <v>0.98487313471839655</v>
      </c>
    </row>
    <row r="22" spans="2:3" ht="14.25" customHeight="1" x14ac:dyDescent="0.25">
      <c r="B22" t="s">
        <v>190</v>
      </c>
      <c r="C22" s="43">
        <f>1-C21</f>
        <v>1.5126865281603452E-2</v>
      </c>
    </row>
    <row r="23" spans="2:3" ht="14.25" customHeight="1" x14ac:dyDescent="0.25">
      <c r="B23" s="57" t="s">
        <v>191</v>
      </c>
      <c r="C23" s="45">
        <f>C21*C17+C22*C20</f>
        <v>0.1216699418188935</v>
      </c>
    </row>
    <row r="25" spans="2:3" ht="14.25" customHeight="1" x14ac:dyDescent="0.25">
      <c r="B25" s="34" t="s">
        <v>192</v>
      </c>
    </row>
    <row r="26" spans="2:3" ht="14.25" customHeight="1" x14ac:dyDescent="0.25">
      <c r="B26" t="s">
        <v>193</v>
      </c>
      <c r="C26" s="45">
        <v>3.5000000000000003E-2</v>
      </c>
    </row>
    <row r="27" spans="2:3" ht="14.25" customHeight="1" x14ac:dyDescent="0.25">
      <c r="B27" t="s">
        <v>194</v>
      </c>
      <c r="C27" s="41">
        <f>'Cash Flow'!J38*(1+C26)</f>
        <v>259565.72660715401</v>
      </c>
    </row>
    <row r="28" spans="2:3" ht="14.25" customHeight="1" x14ac:dyDescent="0.25">
      <c r="B28" t="s">
        <v>195</v>
      </c>
      <c r="C28" s="41">
        <f>C27/(C23-C26)</f>
        <v>2994875.9761434421</v>
      </c>
    </row>
    <row r="29" spans="2:3" ht="14.25" customHeight="1" x14ac:dyDescent="0.25">
      <c r="B29" t="s">
        <v>196</v>
      </c>
      <c r="C29" s="41">
        <f>C28/(1+C23)^5</f>
        <v>1686760.5393030806</v>
      </c>
    </row>
    <row r="31" spans="2:3" ht="14.25" customHeight="1" x14ac:dyDescent="0.25">
      <c r="B31" s="34" t="s">
        <v>197</v>
      </c>
    </row>
    <row r="32" spans="2:3" ht="14.25" customHeight="1" x14ac:dyDescent="0.25">
      <c r="B32" t="s">
        <v>198</v>
      </c>
      <c r="C32" s="41">
        <f>F11</f>
        <v>0</v>
      </c>
    </row>
    <row r="33" spans="2:22" ht="14.25" customHeight="1" x14ac:dyDescent="0.25">
      <c r="B33" t="s">
        <v>196</v>
      </c>
      <c r="C33" s="41">
        <f>C29</f>
        <v>1686760.5393030806</v>
      </c>
    </row>
    <row r="34" spans="2:22" ht="14.25" customHeight="1" x14ac:dyDescent="0.25">
      <c r="B34" t="s">
        <v>199</v>
      </c>
      <c r="C34" s="41">
        <f>C32+C33</f>
        <v>1686760.5393030806</v>
      </c>
    </row>
    <row r="35" spans="2:22" ht="14.25" customHeight="1" x14ac:dyDescent="0.25">
      <c r="B35" t="s">
        <v>200</v>
      </c>
      <c r="C35" s="45">
        <f>C33/C34</f>
        <v>1</v>
      </c>
    </row>
    <row r="36" spans="2:22" ht="14.25" customHeight="1" x14ac:dyDescent="0.25">
      <c r="R36" s="45"/>
      <c r="S36" s="45"/>
      <c r="T36" s="45"/>
      <c r="U36" s="45"/>
      <c r="V36" s="45"/>
    </row>
    <row r="37" spans="2:22" ht="14.25" customHeight="1" x14ac:dyDescent="0.25">
      <c r="B37" t="s">
        <v>201</v>
      </c>
      <c r="C37" s="40">
        <v>189000</v>
      </c>
      <c r="Q37" s="45"/>
    </row>
    <row r="38" spans="2:22" ht="14.25" customHeight="1" x14ac:dyDescent="0.25">
      <c r="B38" t="s">
        <v>202</v>
      </c>
      <c r="C38" s="41">
        <v>-54412</v>
      </c>
      <c r="Q38" s="45"/>
    </row>
    <row r="39" spans="2:22" ht="14.25" customHeight="1" x14ac:dyDescent="0.25">
      <c r="B39" t="s">
        <v>203</v>
      </c>
      <c r="C39" s="41">
        <f>C34+C37+C38</f>
        <v>1821348.5393030806</v>
      </c>
      <c r="Q39" s="45"/>
    </row>
    <row r="40" spans="2:22" ht="14.25" customHeight="1" x14ac:dyDescent="0.25">
      <c r="B40" t="s">
        <v>204</v>
      </c>
      <c r="C40" s="41">
        <v>305136</v>
      </c>
      <c r="Q40" s="45"/>
    </row>
    <row r="41" spans="2:22" ht="14.25" customHeight="1" x14ac:dyDescent="0.25">
      <c r="B41" s="57" t="s">
        <v>205</v>
      </c>
      <c r="C41">
        <f>C39/C40</f>
        <v>5.9689729802549705</v>
      </c>
      <c r="Q41" s="45"/>
    </row>
    <row r="42" spans="2:22" ht="14.25" customHeight="1" x14ac:dyDescent="0.25">
      <c r="B42" t="s">
        <v>206</v>
      </c>
      <c r="C42">
        <v>11.61</v>
      </c>
    </row>
    <row r="43" spans="2:22" ht="14.25" customHeight="1" x14ac:dyDescent="0.25">
      <c r="B43" t="s">
        <v>207</v>
      </c>
      <c r="C43">
        <f>C41/C42-1</f>
        <v>-0.48587657362144954</v>
      </c>
    </row>
    <row r="46" spans="2:22" ht="14.25" customHeight="1" x14ac:dyDescent="0.25">
      <c r="B46" s="34" t="s">
        <v>208</v>
      </c>
    </row>
    <row r="47" spans="2:22" ht="14.25" customHeight="1" x14ac:dyDescent="0.25">
      <c r="B47" t="s">
        <v>205</v>
      </c>
    </row>
    <row r="48" spans="2:22" ht="14.25" customHeight="1" x14ac:dyDescent="0.25">
      <c r="B48" s="67" t="s">
        <v>209</v>
      </c>
      <c r="C48" s="68">
        <v>0.10199999999999999</v>
      </c>
      <c r="D48" s="68">
        <v>0.112</v>
      </c>
      <c r="E48" s="68">
        <v>0.122</v>
      </c>
      <c r="F48" s="68">
        <v>0.13200000000000001</v>
      </c>
      <c r="G48" s="68">
        <v>0.14199999999999999</v>
      </c>
    </row>
    <row r="49" spans="2:7" ht="14.25" customHeight="1" x14ac:dyDescent="0.25">
      <c r="B49" s="68">
        <v>2.5000000000000001E-2</v>
      </c>
      <c r="C49">
        <v>9.6394208941948101</v>
      </c>
      <c r="D49">
        <v>8.5466580991362004</v>
      </c>
      <c r="E49">
        <v>7.6822317422821396</v>
      </c>
      <c r="F49">
        <v>6.9819346653251602</v>
      </c>
      <c r="G49">
        <v>6.4035239144370797</v>
      </c>
    </row>
    <row r="50" spans="2:7" ht="14.25" customHeight="1" x14ac:dyDescent="0.25">
      <c r="B50" s="68">
        <v>0.03</v>
      </c>
      <c r="C50">
        <v>10.142034167119</v>
      </c>
      <c r="D50">
        <v>8.9233890474979791</v>
      </c>
      <c r="E50">
        <v>7.9728029400149802</v>
      </c>
      <c r="F50">
        <v>7.2112398614008102</v>
      </c>
      <c r="G50">
        <v>6.5879045267048904</v>
      </c>
    </row>
    <row r="51" spans="2:7" ht="14.25" customHeight="1" x14ac:dyDescent="0.25">
      <c r="B51" s="68">
        <v>3.5000000000000003E-2</v>
      </c>
      <c r="C51">
        <v>10.7196643464499</v>
      </c>
      <c r="D51">
        <v>9.3490460930495907</v>
      </c>
      <c r="E51" s="69">
        <v>8.2967731259929707</v>
      </c>
      <c r="F51">
        <v>7.4641847684120997</v>
      </c>
      <c r="G51">
        <v>6.78951697189492</v>
      </c>
    </row>
    <row r="52" spans="2:7" ht="14.25" customHeight="1" x14ac:dyDescent="0.25">
      <c r="B52" s="68">
        <v>0.04</v>
      </c>
      <c r="C52">
        <v>11.390460683737301</v>
      </c>
      <c r="D52">
        <v>9.8338221727055899</v>
      </c>
      <c r="E52">
        <v>8.6602518712365804</v>
      </c>
      <c r="F52">
        <v>7.7446236870550402</v>
      </c>
      <c r="G52">
        <v>7.0108953430839804</v>
      </c>
    </row>
    <row r="53" spans="2:7" ht="14.25" customHeight="1" x14ac:dyDescent="0.25">
      <c r="B53" s="68">
        <v>4.4999999999999998E-2</v>
      </c>
      <c r="C53" s="70">
        <v>12.178940588969899</v>
      </c>
      <c r="D53">
        <v>10.3909528911162</v>
      </c>
      <c r="E53">
        <v>9.0709356483299999</v>
      </c>
      <c r="F53">
        <v>8.0572969641627008</v>
      </c>
      <c r="G53">
        <v>7.2550962267667503</v>
      </c>
    </row>
    <row r="60" spans="2:7" ht="14.25" customHeight="1" x14ac:dyDescent="0.25">
      <c r="C60" s="45"/>
    </row>
    <row r="61" spans="2:7" ht="14.25" customHeight="1" x14ac:dyDescent="0.25">
      <c r="C61" s="71"/>
    </row>
    <row r="62" spans="2:7" ht="14.25" customHeight="1" x14ac:dyDescent="0.25">
      <c r="C62" s="71"/>
    </row>
    <row r="63" spans="2:7" ht="14.25" customHeight="1" x14ac:dyDescent="0.25">
      <c r="C63" s="71"/>
    </row>
    <row r="64" spans="2:7" ht="14.25" customHeight="1" x14ac:dyDescent="0.25">
      <c r="C64" s="71"/>
    </row>
    <row r="65" spans="3:3" ht="14.25" customHeight="1" x14ac:dyDescent="0.25">
      <c r="C65" s="7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B1:N23"/>
  <sheetViews>
    <sheetView showGridLines="0" zoomScaleNormal="100" workbookViewId="0">
      <selection activeCell="D20" sqref="D20"/>
    </sheetView>
  </sheetViews>
  <sheetFormatPr defaultColWidth="8.5703125" defaultRowHeight="15" x14ac:dyDescent="0.25"/>
  <cols>
    <col min="1" max="1" width="8.7109375" customWidth="1"/>
    <col min="2" max="2" width="46.5703125" customWidth="1"/>
    <col min="3" max="3" width="10.85546875" customWidth="1"/>
    <col min="4" max="4" width="15.42578125" customWidth="1"/>
    <col min="5" max="5" width="12.85546875" customWidth="1"/>
    <col min="6" max="6" width="20" customWidth="1"/>
    <col min="7" max="7" width="16.7109375" customWidth="1"/>
    <col min="8" max="8" width="15.5703125" customWidth="1"/>
    <col min="9" max="9" width="19.5703125" customWidth="1"/>
    <col min="10" max="10" width="11.140625" customWidth="1"/>
    <col min="11" max="11" width="10" customWidth="1"/>
    <col min="13" max="13" width="15.28515625" customWidth="1"/>
    <col min="14" max="14" width="13.85546875" customWidth="1"/>
  </cols>
  <sheetData>
    <row r="1" spans="2:14" ht="21" customHeight="1" x14ac:dyDescent="0.35">
      <c r="B1" s="32" t="s">
        <v>96</v>
      </c>
    </row>
    <row r="2" spans="2:14" ht="14.25" customHeight="1" x14ac:dyDescent="0.25">
      <c r="B2" s="34" t="s">
        <v>210</v>
      </c>
    </row>
    <row r="3" spans="2:14" ht="14.25" customHeight="1" x14ac:dyDescent="0.25">
      <c r="B3" s="36" t="s">
        <v>211</v>
      </c>
    </row>
    <row r="6" spans="2:14" ht="14.25" customHeight="1" x14ac:dyDescent="0.25">
      <c r="B6" s="34" t="s">
        <v>212</v>
      </c>
      <c r="C6" s="81" t="s">
        <v>213</v>
      </c>
      <c r="D6" s="81" t="s">
        <v>214</v>
      </c>
      <c r="E6" s="81" t="s">
        <v>215</v>
      </c>
      <c r="F6" s="81" t="s">
        <v>216</v>
      </c>
      <c r="G6" s="81" t="s">
        <v>217</v>
      </c>
      <c r="H6" s="81" t="s">
        <v>218</v>
      </c>
      <c r="I6" s="81" t="s">
        <v>219</v>
      </c>
      <c r="J6" s="81" t="s">
        <v>220</v>
      </c>
      <c r="K6" s="81" t="s">
        <v>221</v>
      </c>
      <c r="L6" s="81" t="s">
        <v>222</v>
      </c>
      <c r="M6" s="81" t="s">
        <v>223</v>
      </c>
      <c r="N6" s="81" t="s">
        <v>224</v>
      </c>
    </row>
    <row r="7" spans="2:14" ht="14.25" customHeight="1" x14ac:dyDescent="0.25">
      <c r="B7" t="s">
        <v>225</v>
      </c>
      <c r="C7" s="64">
        <v>11.61</v>
      </c>
      <c r="D7" s="82">
        <v>3543</v>
      </c>
      <c r="E7" s="60">
        <v>-135</v>
      </c>
      <c r="F7" s="60">
        <v>3408</v>
      </c>
      <c r="G7" s="64">
        <v>746</v>
      </c>
      <c r="H7" s="64">
        <v>158</v>
      </c>
      <c r="I7" s="64">
        <v>120</v>
      </c>
      <c r="J7" s="83">
        <f t="shared" ref="J7:J12" si="0">F7/G7</f>
        <v>4.568364611260054</v>
      </c>
      <c r="K7" s="83">
        <f t="shared" ref="K7:K12" si="1">F7/H7</f>
        <v>21.569620253164558</v>
      </c>
      <c r="L7" s="83">
        <f>D7/I7</f>
        <v>29.524999999999999</v>
      </c>
      <c r="M7" s="84">
        <v>0.15</v>
      </c>
      <c r="N7" s="83">
        <f t="shared" ref="N7:N12" si="2">(H7/G7)*100</f>
        <v>21.179624664879356</v>
      </c>
    </row>
    <row r="8" spans="2:14" ht="14.25" customHeight="1" x14ac:dyDescent="0.25">
      <c r="B8" t="s">
        <v>226</v>
      </c>
      <c r="C8" s="64">
        <v>4.99</v>
      </c>
      <c r="D8" s="60">
        <v>2110</v>
      </c>
      <c r="E8" s="64">
        <v>-400</v>
      </c>
      <c r="F8" s="60">
        <v>1710</v>
      </c>
      <c r="G8" s="64">
        <v>990</v>
      </c>
      <c r="H8" s="64">
        <v>180</v>
      </c>
      <c r="I8" s="64">
        <v>85</v>
      </c>
      <c r="J8" s="83">
        <f t="shared" si="0"/>
        <v>1.7272727272727273</v>
      </c>
      <c r="K8" s="83">
        <f t="shared" si="1"/>
        <v>9.5</v>
      </c>
      <c r="L8" s="83">
        <f>D8/I8</f>
        <v>24.823529411764707</v>
      </c>
      <c r="M8" s="84">
        <v>0.17</v>
      </c>
      <c r="N8" s="83">
        <f t="shared" si="2"/>
        <v>18.181818181818183</v>
      </c>
    </row>
    <row r="9" spans="2:14" ht="14.25" customHeight="1" x14ac:dyDescent="0.25">
      <c r="B9" t="s">
        <v>227</v>
      </c>
      <c r="C9" s="64">
        <v>12.04</v>
      </c>
      <c r="D9" s="60">
        <v>1630</v>
      </c>
      <c r="E9" s="64">
        <v>-200</v>
      </c>
      <c r="F9" s="60">
        <v>1430</v>
      </c>
      <c r="G9" s="64">
        <v>583</v>
      </c>
      <c r="H9" s="64">
        <v>90</v>
      </c>
      <c r="I9" s="64">
        <v>6</v>
      </c>
      <c r="J9" s="83">
        <f t="shared" si="0"/>
        <v>2.4528301886792452</v>
      </c>
      <c r="K9" s="83">
        <f t="shared" si="1"/>
        <v>15.888888888888889</v>
      </c>
      <c r="L9" s="83">
        <f>D9/I9</f>
        <v>271.66666666666669</v>
      </c>
      <c r="M9" s="84">
        <v>0.46</v>
      </c>
      <c r="N9" s="83">
        <f t="shared" si="2"/>
        <v>15.437392795883362</v>
      </c>
    </row>
    <row r="10" spans="2:14" ht="14.25" customHeight="1" x14ac:dyDescent="0.25">
      <c r="B10" t="s">
        <v>228</v>
      </c>
      <c r="C10" s="64">
        <v>15.99</v>
      </c>
      <c r="D10" s="60">
        <v>3200</v>
      </c>
      <c r="E10" s="64">
        <v>-300</v>
      </c>
      <c r="F10" s="60">
        <v>2900</v>
      </c>
      <c r="G10" s="60">
        <v>1264</v>
      </c>
      <c r="H10" s="64">
        <v>135</v>
      </c>
      <c r="I10" s="64">
        <v>-37</v>
      </c>
      <c r="J10" s="83">
        <f t="shared" si="0"/>
        <v>2.2943037974683542</v>
      </c>
      <c r="K10" s="83">
        <f t="shared" si="1"/>
        <v>21.481481481481481</v>
      </c>
      <c r="L10" s="83" t="s">
        <v>229</v>
      </c>
      <c r="M10" s="84">
        <v>0.34</v>
      </c>
      <c r="N10" s="83">
        <f t="shared" si="2"/>
        <v>10.680379746835444</v>
      </c>
    </row>
    <row r="11" spans="2:14" ht="14.25" customHeight="1" x14ac:dyDescent="0.25">
      <c r="B11" t="s">
        <v>230</v>
      </c>
      <c r="C11" s="64"/>
      <c r="D11" s="60">
        <v>34200</v>
      </c>
      <c r="E11" s="60">
        <v>-2000</v>
      </c>
      <c r="F11" s="60">
        <v>32200</v>
      </c>
      <c r="G11" s="60">
        <v>2990</v>
      </c>
      <c r="H11" s="60">
        <v>1200</v>
      </c>
      <c r="I11" s="64">
        <v>900</v>
      </c>
      <c r="J11" s="83">
        <f t="shared" si="0"/>
        <v>10.76923076923077</v>
      </c>
      <c r="K11" s="83">
        <f t="shared" si="1"/>
        <v>26.833333333333332</v>
      </c>
      <c r="L11" s="83">
        <f>D11/I11</f>
        <v>38</v>
      </c>
      <c r="M11" s="84">
        <v>0.22</v>
      </c>
      <c r="N11" s="83">
        <f t="shared" si="2"/>
        <v>40.133779264214049</v>
      </c>
    </row>
    <row r="12" spans="2:14" ht="14.25" customHeight="1" x14ac:dyDescent="0.25">
      <c r="B12" t="s">
        <v>231</v>
      </c>
      <c r="C12" s="64"/>
      <c r="D12" s="60">
        <v>7500</v>
      </c>
      <c r="E12" s="60">
        <v>2500</v>
      </c>
      <c r="F12" s="60">
        <v>10000</v>
      </c>
      <c r="G12" s="60">
        <v>2200</v>
      </c>
      <c r="H12" s="64">
        <v>900</v>
      </c>
      <c r="I12" s="64">
        <v>280</v>
      </c>
      <c r="J12" s="83">
        <f t="shared" si="0"/>
        <v>4.5454545454545459</v>
      </c>
      <c r="K12" s="83">
        <f t="shared" si="1"/>
        <v>11.111111111111111</v>
      </c>
      <c r="L12" s="83">
        <f>D12/I12</f>
        <v>26.785714285714285</v>
      </c>
      <c r="M12" s="84">
        <v>0.61</v>
      </c>
      <c r="N12" s="83">
        <f t="shared" si="2"/>
        <v>40.909090909090914</v>
      </c>
    </row>
    <row r="14" spans="2:14" ht="14.25" customHeight="1" x14ac:dyDescent="0.25">
      <c r="B14" s="86" t="s">
        <v>232</v>
      </c>
      <c r="C14" s="72"/>
      <c r="D14" s="63"/>
      <c r="E14" s="63"/>
      <c r="F14" s="63"/>
      <c r="G14" s="63"/>
      <c r="H14" s="63"/>
      <c r="I14" s="63"/>
      <c r="J14" s="85">
        <f>AVERAGE(J8:J13)</f>
        <v>4.3578184056211287</v>
      </c>
      <c r="K14" s="85">
        <f>AVERAGE(K8:K13)</f>
        <v>16.962962962962962</v>
      </c>
      <c r="L14" s="85">
        <f>AVERAGE(L8,L11,L12)</f>
        <v>29.869747899159666</v>
      </c>
      <c r="M14" s="85">
        <f>AVERAGE(M8:M13)</f>
        <v>0.36</v>
      </c>
      <c r="N14" s="63"/>
    </row>
    <row r="15" spans="2:14" ht="14.25" customHeight="1" x14ac:dyDescent="0.25">
      <c r="B15" s="57" t="s">
        <v>233</v>
      </c>
      <c r="J15" s="83">
        <f>MEDIAN(J8:J13)</f>
        <v>2.4528301886792452</v>
      </c>
      <c r="K15" s="83">
        <f>MEDIAN(K8:K13)</f>
        <v>15.888888888888889</v>
      </c>
      <c r="L15" s="83">
        <f>MEDIAN(L8:L13)</f>
        <v>32.392857142857139</v>
      </c>
      <c r="M15" s="83">
        <f>MEDIAN(M8:M13)</f>
        <v>0.34</v>
      </c>
    </row>
    <row r="17" spans="2:3" ht="14.25" customHeight="1" x14ac:dyDescent="0.25">
      <c r="B17" t="s">
        <v>234</v>
      </c>
    </row>
    <row r="18" spans="2:3" ht="14.25" customHeight="1" x14ac:dyDescent="0.25">
      <c r="B18" s="34" t="s">
        <v>235</v>
      </c>
    </row>
    <row r="19" spans="2:3" ht="14.25" customHeight="1" x14ac:dyDescent="0.25">
      <c r="B19" s="57" t="s">
        <v>236</v>
      </c>
      <c r="C19" s="65">
        <f>(J15*G7+189-54)/305.136</f>
        <v>6.4391331103334801</v>
      </c>
    </row>
    <row r="20" spans="2:3" ht="14.25" customHeight="1" x14ac:dyDescent="0.25">
      <c r="B20" t="s">
        <v>237</v>
      </c>
      <c r="C20" s="65">
        <f>(J14*G7+189-54)/305.136</f>
        <v>11.096470198840391</v>
      </c>
    </row>
    <row r="21" spans="2:3" ht="14.25" customHeight="1" x14ac:dyDescent="0.25">
      <c r="B21" t="s">
        <v>238</v>
      </c>
      <c r="C21" s="65">
        <f>(K15*H7+189-54)/305.136</f>
        <v>8.6697224989658519</v>
      </c>
    </row>
    <row r="22" spans="2:3" ht="14.25" customHeight="1" x14ac:dyDescent="0.25">
      <c r="B22" t="s">
        <v>239</v>
      </c>
      <c r="C22" s="65">
        <f>(K14*H7+189-54)/305.136</f>
        <v>9.2258800932965883</v>
      </c>
    </row>
    <row r="23" spans="2:3" ht="14.25" customHeight="1" x14ac:dyDescent="0.25">
      <c r="B23" t="s">
        <v>240</v>
      </c>
      <c r="C23" s="65">
        <f>L14 * (I7/305.136)</f>
        <v>11.746794045603139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Assumptions</vt:lpstr>
      <vt:lpstr>Income Statement</vt:lpstr>
      <vt:lpstr>Balance Sheet</vt:lpstr>
      <vt:lpstr>Cash Flow</vt:lpstr>
      <vt:lpstr>DCF</vt:lpstr>
      <vt:lpstr>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Prakhar Srivastava</dc:creator>
  <dc:description/>
  <cp:lastModifiedBy>Prakhar Srivastava</cp:lastModifiedBy>
  <cp:revision>0</cp:revision>
  <dcterms:created xsi:type="dcterms:W3CDTF">2026-02-27T12:23:17Z</dcterms:created>
  <dcterms:modified xsi:type="dcterms:W3CDTF">2026-03-27T15:35:16Z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0x0101003347421074E57B47B1025065852CF47C</vt:lpwstr>
  </property>
</Properties>
</file>